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defaultThemeVersion="124226"/>
  <bookViews>
    <workbookView xWindow="240" yWindow="1365" windowWidth="7200" windowHeight="5280" tabRatio="852"/>
  </bookViews>
  <sheets>
    <sheet name="Main" sheetId="1" r:id="rId1"/>
    <sheet name="Temp" sheetId="5" state="hidden" r:id="rId2"/>
    <sheet name="Settings" sheetId="2" state="hidden" r:id="rId3"/>
    <sheet name="Sheet1" sheetId="17" state="hidden" r:id="rId4"/>
    <sheet name="OP_WPPP_Temp" sheetId="9" state="hidden" r:id="rId5"/>
    <sheet name="OP_SPPP_Temp" sheetId="10" state="hidden" r:id="rId6"/>
    <sheet name="Accrual_And_Prepayment_Temp" sheetId="18" state="hidden" r:id="rId7"/>
    <sheet name="Purchase_Order_Temp" sheetId="21" state="hidden" r:id="rId8"/>
    <sheet name="Payment_Request_Temp" sheetId="23" state="hidden" r:id="rId9"/>
    <sheet name="Monthly_Statement_Temp" sheetId="24" state="hidden" r:id="rId10"/>
    <sheet name="PAF_Temp" sheetId="20" state="hidden" r:id="rId11"/>
    <sheet name="PEM_Preview_Temp" sheetId="30" r:id="rId12"/>
    <sheet name="PEM_Temp" sheetId="27" r:id="rId13"/>
    <sheet name="PEM_Summary_Temp" sheetId="28" r:id="rId14"/>
    <sheet name="E1Upload_Temp" sheetId="36" r:id="rId15"/>
    <sheet name="Data_Dump_Temp" sheetId="37" r:id="rId16"/>
    <sheet name="ALM_Deal_Sheet_Temp" sheetId="38" r:id="rId17"/>
    <sheet name="Standard_Deal_Sheet_Temp" sheetId="39" r:id="rId18"/>
  </sheets>
  <functionGroups builtInGroupCount="17"/>
  <externalReferences>
    <externalReference r:id="rId19"/>
    <externalReference r:id="rId20"/>
    <externalReference r:id="rId21"/>
    <externalReference r:id="rId22"/>
  </externalReferences>
  <definedNames>
    <definedName name="\0" localSheetId="9">#REF!</definedName>
    <definedName name="\0">#REF!</definedName>
    <definedName name="_xlnm._FilterDatabase" localSheetId="12" hidden="1">PEM_Temp!$A$8:$D$8</definedName>
    <definedName name="_xlnm._FilterDatabase" localSheetId="2" hidden="1">Settings!$A$10:$L$10</definedName>
    <definedName name="_Key1" localSheetId="14" hidden="1">#REF!</definedName>
    <definedName name="_Key1" hidden="1">#REF!</definedName>
    <definedName name="_Key2" localSheetId="14" hidden="1">#REF!</definedName>
    <definedName name="_Key2" hidden="1">#REF!</definedName>
    <definedName name="_Order1" hidden="1">255</definedName>
    <definedName name="_Order2" hidden="1">0</definedName>
    <definedName name="_Sort" hidden="1">#REF!</definedName>
    <definedName name="CM">PEM_Summary_Temp!$A$27</definedName>
    <definedName name="DISCOUNT">#REF!</definedName>
    <definedName name="DISCPRS">#N/A</definedName>
    <definedName name="DISCPRW">#N/A</definedName>
    <definedName name="DISCTBS">#REF!</definedName>
    <definedName name="DISCTBW">#REF!</definedName>
    <definedName name="GROCERY">#REF!</definedName>
    <definedName name="MyRange">#REF!</definedName>
    <definedName name="OTHER">#REF!</definedName>
    <definedName name="Owner">'[1]CLB + Owners'!$A$3:$C$29</definedName>
    <definedName name="PAGE3">#REF!</definedName>
    <definedName name="_xlnm.Print_Area" localSheetId="10">PAF_Temp!$A$1:$I$71</definedName>
    <definedName name="_xlnm.Print_Area" localSheetId="7">Purchase_Order_Temp!$A$1:$I$28</definedName>
    <definedName name="Print_Area_MI">#REF!</definedName>
    <definedName name="Products">[2]Data!$D$3:$D$362</definedName>
    <definedName name="rngAnalyticsDB" localSheetId="9">[3]Main!#REF!</definedName>
    <definedName name="rngAnalyticsDB">[4]Main!#REF!</definedName>
    <definedName name="RWPR">#N/A</definedName>
    <definedName name="RWTB">#REF!</definedName>
    <definedName name="SA">#REF!</definedName>
    <definedName name="WHOLESALE">#REF!</definedName>
    <definedName name="WSALESA">#REF!</definedName>
    <definedName name="WSLB">#N/A</definedName>
    <definedName name="WSPR">#N/A</definedName>
    <definedName name="WSTB">#REF!</definedName>
    <definedName name="WWLB">#N/A</definedName>
    <definedName name="WWPR">#N/A</definedName>
    <definedName name="WWTB">#REF!</definedName>
    <definedName name="WWWW">#REF!</definedName>
  </definedNames>
  <calcPr calcId="144525"/>
</workbook>
</file>

<file path=xl/calcChain.xml><?xml version="1.0" encoding="utf-8"?>
<calcChain xmlns="http://schemas.openxmlformats.org/spreadsheetml/2006/main">
  <c r="H23" i="28" l="1"/>
  <c r="F23" i="28"/>
  <c r="E23" i="28"/>
  <c r="D23" i="28"/>
  <c r="AF20" i="28" l="1"/>
  <c r="AF19" i="28"/>
  <c r="AF18" i="28"/>
  <c r="AF17" i="28"/>
  <c r="AF16" i="28"/>
  <c r="AF15" i="28"/>
  <c r="AF14" i="28"/>
  <c r="F21" i="28" l="1"/>
  <c r="E21" i="28"/>
  <c r="D21" i="28"/>
  <c r="C23" i="27"/>
  <c r="H29" i="28" l="1"/>
  <c r="H25" i="28"/>
  <c r="H20" i="28"/>
  <c r="H19" i="28"/>
  <c r="H18" i="28"/>
  <c r="H17" i="28"/>
  <c r="H16" i="28"/>
  <c r="H15" i="28"/>
  <c r="H14" i="28"/>
  <c r="H12" i="28"/>
  <c r="H9" i="28"/>
  <c r="H10" i="28" s="1"/>
  <c r="H21" i="28" l="1"/>
  <c r="H27" i="28" s="1"/>
  <c r="H31" i="28" s="1"/>
  <c r="F37" i="28"/>
  <c r="F34" i="28"/>
  <c r="F35" i="28"/>
  <c r="F10" i="28"/>
  <c r="C45" i="27" l="1"/>
  <c r="F40" i="28" l="1"/>
  <c r="F36" i="28"/>
  <c r="F27" i="28"/>
  <c r="F31" i="28" s="1"/>
  <c r="F39" i="28" l="1"/>
  <c r="F38" i="28"/>
  <c r="F41" i="28"/>
  <c r="E37" i="28" l="1"/>
  <c r="E34" i="28"/>
  <c r="D37" i="28"/>
  <c r="D34" i="28"/>
  <c r="E35" i="28"/>
  <c r="D40" i="28"/>
  <c r="E10" i="28"/>
  <c r="D10" i="28"/>
  <c r="H37" i="28" l="1"/>
  <c r="H34" i="28"/>
  <c r="E40" i="28"/>
  <c r="D27" i="28"/>
  <c r="D35" i="28"/>
  <c r="D36" i="28"/>
  <c r="H40" i="28"/>
  <c r="C39" i="27"/>
  <c r="C37" i="27"/>
  <c r="D31" i="28" l="1"/>
  <c r="D41" i="28" s="1"/>
  <c r="D39" i="28"/>
  <c r="E36" i="28"/>
  <c r="E27" i="28"/>
  <c r="D38" i="28"/>
  <c r="H35" i="28"/>
  <c r="H36" i="28"/>
  <c r="C36" i="27"/>
  <c r="C12" i="27"/>
  <c r="C46" i="27" s="1"/>
  <c r="E31" i="28" l="1"/>
  <c r="E41" i="28" s="1"/>
  <c r="E39" i="28"/>
  <c r="E38" i="28"/>
  <c r="H41" i="28"/>
  <c r="H39" i="28"/>
  <c r="H38" i="28"/>
  <c r="C25" i="27"/>
  <c r="C42" i="27" s="1"/>
  <c r="C38" i="27" l="1"/>
  <c r="C29" i="27"/>
  <c r="C41" i="27" l="1"/>
  <c r="C40" i="27"/>
  <c r="C33" i="27"/>
  <c r="C43" i="27" s="1"/>
  <c r="H7" i="24" l="1"/>
  <c r="N6" i="18"/>
  <c r="P6" i="18"/>
  <c r="O6" i="18"/>
  <c r="J7" i="24"/>
  <c r="D16" i="23" l="1"/>
  <c r="D17" i="23" l="1"/>
  <c r="D18" i="23" s="1"/>
  <c r="I26" i="21"/>
  <c r="I27" i="21" s="1"/>
  <c r="C13" i="21"/>
  <c r="C15" i="21" l="1"/>
  <c r="C17" i="21" l="1"/>
  <c r="H22" i="20"/>
  <c r="I27" i="20" s="1"/>
  <c r="G22" i="20"/>
  <c r="C13" i="20" l="1"/>
  <c r="I28" i="20"/>
  <c r="C17" i="20" s="1"/>
  <c r="C15" i="20"/>
</calcChain>
</file>

<file path=xl/sharedStrings.xml><?xml version="1.0" encoding="utf-8"?>
<sst xmlns="http://schemas.openxmlformats.org/spreadsheetml/2006/main" count="823" uniqueCount="649">
  <si>
    <t>Brand</t>
  </si>
  <si>
    <t>Sub Brand</t>
  </si>
  <si>
    <t>Size</t>
  </si>
  <si>
    <t>Units Per Ctn</t>
  </si>
  <si>
    <t>Min Quant</t>
  </si>
  <si>
    <t>Max Num of Cases</t>
  </si>
  <si>
    <t>Bonus Lvl</t>
  </si>
  <si>
    <t>Act Bonus</t>
  </si>
  <si>
    <t xml:space="preserve">Addtn Disc </t>
  </si>
  <si>
    <t>Mixed Buy</t>
  </si>
  <si>
    <t>Bonus Prod Desc</t>
  </si>
  <si>
    <t>Bonus Size</t>
  </si>
  <si>
    <t>Bonus Prod Code</t>
  </si>
  <si>
    <t>Desc</t>
  </si>
  <si>
    <t>Prod Code</t>
  </si>
  <si>
    <t>Disc $</t>
  </si>
  <si>
    <t>Brand1</t>
  </si>
  <si>
    <t>Brand2</t>
  </si>
  <si>
    <t>Brand3</t>
  </si>
  <si>
    <t>Brand4</t>
  </si>
  <si>
    <t>Sub Brand1</t>
  </si>
  <si>
    <t>Sub Brand2</t>
  </si>
  <si>
    <t>Sub Brand3</t>
  </si>
  <si>
    <t>Sub Brand4</t>
  </si>
  <si>
    <t>Desc1</t>
  </si>
  <si>
    <t>Desc2</t>
  </si>
  <si>
    <t>Desc3</t>
  </si>
  <si>
    <t>Desc4</t>
  </si>
  <si>
    <t>1000ml</t>
  </si>
  <si>
    <t>100ml</t>
  </si>
  <si>
    <t>1200ml</t>
  </si>
  <si>
    <t>10ml</t>
  </si>
  <si>
    <t>y</t>
  </si>
  <si>
    <t>n</t>
  </si>
  <si>
    <t>Brand5</t>
  </si>
  <si>
    <t>Sub Brand5</t>
  </si>
  <si>
    <t>Desc5</t>
  </si>
  <si>
    <t>Customer Name</t>
  </si>
  <si>
    <t>COOP Ref #</t>
  </si>
  <si>
    <t>Period Start</t>
  </si>
  <si>
    <t>Period End</t>
  </si>
  <si>
    <t xml:space="preserve">         PROMOTIONAL AGREEMENT FORM</t>
  </si>
  <si>
    <t>PRESS "EMAIL" Button to send the completed PAF Form to SRA</t>
  </si>
  <si>
    <t>ABN :75 007 870 046</t>
  </si>
  <si>
    <t>CCQ #</t>
  </si>
  <si>
    <t>CUSTOMER NUMBER</t>
  </si>
  <si>
    <t xml:space="preserve">CUSTOMER NAME:  </t>
  </si>
  <si>
    <t>TAX INVOICE NO/CLAIM NO</t>
  </si>
  <si>
    <t>GROUP:</t>
  </si>
  <si>
    <t>DATE</t>
  </si>
  <si>
    <t>Creation date</t>
  </si>
  <si>
    <t>SUB TOTAL</t>
  </si>
  <si>
    <t>GST</t>
  </si>
  <si>
    <t>TYPE OF ACTIVITY:</t>
  </si>
  <si>
    <t>CO-OP</t>
  </si>
  <si>
    <t>TOTAL OF CHEQUE</t>
  </si>
  <si>
    <t>COOP PERIOD:</t>
  </si>
  <si>
    <t>From</t>
  </si>
  <si>
    <t>To</t>
  </si>
  <si>
    <t>PAYMENT METHOD</t>
  </si>
  <si>
    <t>SELECT</t>
  </si>
  <si>
    <t>MEMO:</t>
  </si>
  <si>
    <t>FORMULA.          DO NOT CHANGE</t>
  </si>
  <si>
    <t>ENTITY NO</t>
  </si>
  <si>
    <t>G/L CODE</t>
  </si>
  <si>
    <t>AMOUNT</t>
  </si>
  <si>
    <t>MDM mapping table (we need Dec Entity code)</t>
  </si>
  <si>
    <t>0805</t>
  </si>
  <si>
    <t>PRODUCT DESCRIPTION</t>
  </si>
  <si>
    <t>R CODE</t>
  </si>
  <si>
    <t>AMOUNT $</t>
  </si>
  <si>
    <t>D=DRIVE</t>
  </si>
  <si>
    <t>S= SEED</t>
  </si>
  <si>
    <t>SS-SUSTAIN</t>
  </si>
  <si>
    <t>C= COMMERCIAL</t>
  </si>
  <si>
    <t>GST (Entity 1 GL - Code 8171)</t>
  </si>
  <si>
    <t>TOTAL</t>
  </si>
  <si>
    <t>PREPARED BY:</t>
  </si>
  <si>
    <t>DATE:</t>
  </si>
  <si>
    <t>MANAGERS AUTHORISATION:</t>
  </si>
  <si>
    <t>ENTERED INTO DEC BY:</t>
  </si>
  <si>
    <t>OFFICE USE ONLY</t>
  </si>
  <si>
    <t>Date</t>
  </si>
  <si>
    <t>By</t>
  </si>
  <si>
    <t>Initial</t>
  </si>
  <si>
    <t>PAF Received</t>
  </si>
  <si>
    <t>PAF Entered on PAF CALC S/Sheet:</t>
  </si>
  <si>
    <t xml:space="preserve">ACCRUED for: </t>
  </si>
  <si>
    <t>Invoice Received:</t>
  </si>
  <si>
    <t>PAF CALC Deducted:</t>
  </si>
  <si>
    <t>Additional Notes:</t>
  </si>
  <si>
    <t>CHEQUE</t>
  </si>
  <si>
    <t>DEDUCTION</t>
  </si>
  <si>
    <t>STOCK</t>
  </si>
  <si>
    <r>
      <rPr>
        <b/>
        <sz val="14"/>
        <rFont val="Calibri"/>
        <family val="2"/>
      </rPr>
      <t xml:space="preserve">SELECT </t>
    </r>
    <r>
      <rPr>
        <b/>
        <sz val="14"/>
        <color rgb="FF000000"/>
        <rFont val="Calibri"/>
        <family val="2"/>
      </rPr>
      <t>ACTIVITY</t>
    </r>
  </si>
  <si>
    <t>GL CODE</t>
  </si>
  <si>
    <t>Bonus Stock</t>
  </si>
  <si>
    <t>0503</t>
  </si>
  <si>
    <t>QA3</t>
  </si>
  <si>
    <t>0508</t>
  </si>
  <si>
    <t>Store Level Funds</t>
  </si>
  <si>
    <t>0821</t>
  </si>
  <si>
    <t>Rebate</t>
  </si>
  <si>
    <t>0840</t>
  </si>
  <si>
    <t>SELECT GROUP</t>
  </si>
  <si>
    <t>ENTITY CODE</t>
  </si>
  <si>
    <t>NSW ACCOR GROUP</t>
  </si>
  <si>
    <t>1323123</t>
  </si>
  <si>
    <t>NSW AIR FORCE</t>
  </si>
  <si>
    <t>132311F</t>
  </si>
  <si>
    <t>NSW AIRLINES</t>
  </si>
  <si>
    <t>132311T</t>
  </si>
  <si>
    <t>NSW ALM</t>
  </si>
  <si>
    <t>132111</t>
  </si>
  <si>
    <t>NSW AMATOS LIQUOR</t>
  </si>
  <si>
    <t>13211M8</t>
  </si>
  <si>
    <t>NSW ARMY</t>
  </si>
  <si>
    <t>1323112</t>
  </si>
  <si>
    <t>NSW AUCTION ALLIANCE</t>
  </si>
  <si>
    <t>1324130</t>
  </si>
  <si>
    <t>NSW AUSTRALIAN TURF CLUB</t>
  </si>
  <si>
    <t>1323166</t>
  </si>
  <si>
    <t>NSW BEST WESTERN</t>
  </si>
  <si>
    <t>132312H</t>
  </si>
  <si>
    <t>NSW BONDI PIZZA</t>
  </si>
  <si>
    <t>13232Z1</t>
  </si>
  <si>
    <t>NSW CAMPBELLS C&amp;C</t>
  </si>
  <si>
    <t>1321117</t>
  </si>
  <si>
    <t>NSW CASINO</t>
  </si>
  <si>
    <t>13232SC</t>
  </si>
  <si>
    <t>NSW CHAMBERS CELLARS</t>
  </si>
  <si>
    <t>13211D3</t>
  </si>
  <si>
    <t>NSW COCO CUBANO</t>
  </si>
  <si>
    <t>13232N1</t>
  </si>
  <si>
    <t>NSW COMMUNITY CLUBS</t>
  </si>
  <si>
    <t>13232F1</t>
  </si>
  <si>
    <t>NSW COMPASS</t>
  </si>
  <si>
    <t>1323126</t>
  </si>
  <si>
    <t>NSW COOGEE BAY HOTEL</t>
  </si>
  <si>
    <t>13211M3</t>
  </si>
  <si>
    <t>NSW COUNTRY COMFORT</t>
  </si>
  <si>
    <t>1323113</t>
  </si>
  <si>
    <t>NSW D'AQUINO NILWA</t>
  </si>
  <si>
    <t>13211DC</t>
  </si>
  <si>
    <t>NSW DAVID JONES</t>
  </si>
  <si>
    <t>132111G</t>
  </si>
  <si>
    <t>NSW DIRECT MAIL OTHER</t>
  </si>
  <si>
    <t>132413A</t>
  </si>
  <si>
    <t>NSW EAT DRINK DINE</t>
  </si>
  <si>
    <t>13232D1</t>
  </si>
  <si>
    <t>NSW EIGHT HOTELS</t>
  </si>
  <si>
    <t>132318H</t>
  </si>
  <si>
    <t>NSW EL PHOENICIAN</t>
  </si>
  <si>
    <t>13232EP</t>
  </si>
  <si>
    <t>NSW FRATELLIFRESH</t>
  </si>
  <si>
    <t>13232L1</t>
  </si>
  <si>
    <t>NSW G H COLE</t>
  </si>
  <si>
    <t>13211F</t>
  </si>
  <si>
    <t>NSW GOLDFISH GROUP</t>
  </si>
  <si>
    <t>13232S1</t>
  </si>
  <si>
    <t>NSW HILTON HOTELS</t>
  </si>
  <si>
    <t>1323117</t>
  </si>
  <si>
    <t>NSW HOG'S BREATH</t>
  </si>
  <si>
    <t>132311V</t>
  </si>
  <si>
    <t>NSW HOLIDAY INN</t>
  </si>
  <si>
    <t>132311B1</t>
  </si>
  <si>
    <t>NSW HOTEL LIQUOR WHOLESALERS</t>
  </si>
  <si>
    <t>132116</t>
  </si>
  <si>
    <t>NSW HYATT HOTELS</t>
  </si>
  <si>
    <t>1323118</t>
  </si>
  <si>
    <t>NSW IBA BOTTLE'O NEIGHBOURHOOD</t>
  </si>
  <si>
    <t>1321116I</t>
  </si>
  <si>
    <t>NSW IBA CELLARBRATIONS</t>
  </si>
  <si>
    <t>1321116A</t>
  </si>
  <si>
    <t>NSW IBA CLUB PARTNERS</t>
  </si>
  <si>
    <t>132312C</t>
  </si>
  <si>
    <t>NSW IBA IGA</t>
  </si>
  <si>
    <t>1321116H</t>
  </si>
  <si>
    <t>NSW IBA IGA RITCHIES</t>
  </si>
  <si>
    <t>1321116K</t>
  </si>
  <si>
    <t>NSW IBA LIQUORFORCE</t>
  </si>
  <si>
    <t>1321116D</t>
  </si>
  <si>
    <t>NSW IBA THE BOTTLE'O</t>
  </si>
  <si>
    <t>1321116J</t>
  </si>
  <si>
    <t>NSW ILG</t>
  </si>
  <si>
    <t>132113</t>
  </si>
  <si>
    <t>NSW ILG UNBANNERED</t>
  </si>
  <si>
    <t>13211A5</t>
  </si>
  <si>
    <t>NSW IND LOCAL - ICON</t>
  </si>
  <si>
    <t>1323128B</t>
  </si>
  <si>
    <t>NSW IND LOCAL - LOCAL LIQUOR</t>
  </si>
  <si>
    <t>132111O1</t>
  </si>
  <si>
    <t>NSW INDEPENDENT LOCAL RETAILER</t>
  </si>
  <si>
    <t>132111O</t>
  </si>
  <si>
    <t>NSW INTERCONTINENTAL HOTELS</t>
  </si>
  <si>
    <t>132311B</t>
  </si>
  <si>
    <t>NSW J &amp; J O'BRIEN GROUP</t>
  </si>
  <si>
    <t>1323125</t>
  </si>
  <si>
    <t>NSW KEMENYS LIQUOR</t>
  </si>
  <si>
    <t>13211M0</t>
  </si>
  <si>
    <t>NSW KEYSTONE</t>
  </si>
  <si>
    <t>1323128A</t>
  </si>
  <si>
    <t>NSW KINGSLEYS RESTAURANTS</t>
  </si>
  <si>
    <t>1323130</t>
  </si>
  <si>
    <t>NSW L/STAX -  BKG</t>
  </si>
  <si>
    <t>1321192Q</t>
  </si>
  <si>
    <t>NSW L/STAX - ARCH DEANGELIS</t>
  </si>
  <si>
    <t>1321192L</t>
  </si>
  <si>
    <t>NSW L/STAX - BELL</t>
  </si>
  <si>
    <t>1321192E</t>
  </si>
  <si>
    <t>NSW L/STAX - BITTINI</t>
  </si>
  <si>
    <t>1321192A</t>
  </si>
  <si>
    <t>NSW L/STAX - DAVID MARLOW</t>
  </si>
  <si>
    <t>1321192D</t>
  </si>
  <si>
    <t>NSW L/STAX - FERNWOOD</t>
  </si>
  <si>
    <t>1321192K</t>
  </si>
  <si>
    <t>NSW L/STAX - FEROS</t>
  </si>
  <si>
    <t>1321192N</t>
  </si>
  <si>
    <t>NSW L/STAX - ICE BOX LIQUOR</t>
  </si>
  <si>
    <t>13211DO</t>
  </si>
  <si>
    <t>NSW L/STAX - JIMS CELLARS</t>
  </si>
  <si>
    <t>13211M4</t>
  </si>
  <si>
    <t>NSW L/STAX - MR LIQUOR</t>
  </si>
  <si>
    <t>1321192G</t>
  </si>
  <si>
    <t>NSW L/STAX - PM IRVINE</t>
  </si>
  <si>
    <t>1321192M</t>
  </si>
  <si>
    <t>NSW L/STAX - REDCAPE</t>
  </si>
  <si>
    <t>1321192R</t>
  </si>
  <si>
    <t>NSW L/STAX - SUPABARN</t>
  </si>
  <si>
    <t>1321192C</t>
  </si>
  <si>
    <t>NSW L/STAX - VLANDIS</t>
  </si>
  <si>
    <t>1321192F</t>
  </si>
  <si>
    <t>NSW L/STAX - WAUGH</t>
  </si>
  <si>
    <t>1321192P</t>
  </si>
  <si>
    <t>NSW LA PORCHETTA</t>
  </si>
  <si>
    <t>132318P</t>
  </si>
  <si>
    <t>NSW LAUNDY GROUP</t>
  </si>
  <si>
    <t>132111K</t>
  </si>
  <si>
    <t>NSW LIL DARLIN</t>
  </si>
  <si>
    <t>13232LD</t>
  </si>
  <si>
    <t>NSW LIQUOR CO-OP</t>
  </si>
  <si>
    <t>132113A</t>
  </si>
  <si>
    <t>NSW LIQUOR LEGENDS</t>
  </si>
  <si>
    <t>132111X</t>
  </si>
  <si>
    <t>NSW LIQUOR MARKETING GROUP</t>
  </si>
  <si>
    <t>1321161</t>
  </si>
  <si>
    <t>NSW LIQUOR SAVERS</t>
  </si>
  <si>
    <t>132111YB</t>
  </si>
  <si>
    <t>NSW LIQUOR SAVERS - ON PREMISE</t>
  </si>
  <si>
    <t>132111YC</t>
  </si>
  <si>
    <t>NSW LIQUORSTAX</t>
  </si>
  <si>
    <t>1321192</t>
  </si>
  <si>
    <t>NSW LITTLE BOTTLER/SUPER CLRS</t>
  </si>
  <si>
    <t>1321131</t>
  </si>
  <si>
    <t>NSW LMG - BAYFIELD HOTELS</t>
  </si>
  <si>
    <t>1321161E</t>
  </si>
  <si>
    <t>NSW LMG - BOTTLEMART</t>
  </si>
  <si>
    <t>1321161A</t>
  </si>
  <si>
    <t>NSW LMG - BOTTLEMART EXPRESS</t>
  </si>
  <si>
    <t>1321161B</t>
  </si>
  <si>
    <t>NSW LMG - BOTTLEMART ON PREMISE</t>
  </si>
  <si>
    <t>1321161C</t>
  </si>
  <si>
    <t>NSW LMG - IRIS</t>
  </si>
  <si>
    <t>1323128D</t>
  </si>
  <si>
    <t>NSW LMG - RYANS</t>
  </si>
  <si>
    <t>1323128C</t>
  </si>
  <si>
    <t>NSW LMG DOWN UNDER CELLARS</t>
  </si>
  <si>
    <t>1321161H</t>
  </si>
  <si>
    <t>NSW MANLY WHARF</t>
  </si>
  <si>
    <t>13232W1</t>
  </si>
  <si>
    <t>NSW MARKET CELLARS</t>
  </si>
  <si>
    <t>13211M1</t>
  </si>
  <si>
    <t>NSW MARRIOTT HOTELS</t>
  </si>
  <si>
    <t>1323115</t>
  </si>
  <si>
    <t>NSW MERIVALE</t>
  </si>
  <si>
    <t>1323128</t>
  </si>
  <si>
    <t>NSW MINGARA RECREATION CLUB</t>
  </si>
  <si>
    <t>132311CM</t>
  </si>
  <si>
    <t>NSW MOUNTIES GROUP</t>
  </si>
  <si>
    <t>132311CT</t>
  </si>
  <si>
    <t>NSW NAVY</t>
  </si>
  <si>
    <t>132311E</t>
  </si>
  <si>
    <t>NSW NICKS SEAFOOD</t>
  </si>
  <si>
    <t>1323127</t>
  </si>
  <si>
    <t>NSW OLD WHOLESALERS</t>
  </si>
  <si>
    <t>1329999</t>
  </si>
  <si>
    <t>NSW ON PREMISE (COUNTRY)</t>
  </si>
  <si>
    <t>13211D2</t>
  </si>
  <si>
    <t>NSW ON PREMISE DIST: BLUESTAR</t>
  </si>
  <si>
    <t>132313</t>
  </si>
  <si>
    <t>NSW ON PREMISE METRO</t>
  </si>
  <si>
    <t>1323111M</t>
  </si>
  <si>
    <t>NSW ON PREMISE NORTHERN</t>
  </si>
  <si>
    <t>1323111N</t>
  </si>
  <si>
    <t>NSW ON PREMISE SOUTHERN</t>
  </si>
  <si>
    <t>1323111S</t>
  </si>
  <si>
    <t>NSW ON PREMISE WHOLESALERS</t>
  </si>
  <si>
    <t>132314</t>
  </si>
  <si>
    <t>NSW OP CLUBS OTHERS</t>
  </si>
  <si>
    <t>132311C0</t>
  </si>
  <si>
    <t>NSW OP NON SERVICED</t>
  </si>
  <si>
    <t>13232A1</t>
  </si>
  <si>
    <t>NSW OP NON SERVICED CLUBS</t>
  </si>
  <si>
    <t>13232A2</t>
  </si>
  <si>
    <t>NSW OTHER HOTELS</t>
  </si>
  <si>
    <t>13232O1</t>
  </si>
  <si>
    <t>NSW OUTBACK JACKS</t>
  </si>
  <si>
    <t>132318J</t>
  </si>
  <si>
    <t>NSW PANTHERS CLUB</t>
  </si>
  <si>
    <t>1323160</t>
  </si>
  <si>
    <t>NSW PARKROYAL HOTELS</t>
  </si>
  <si>
    <t>132311B2</t>
  </si>
  <si>
    <t>NSW PETER DOYLES</t>
  </si>
  <si>
    <t>13211E</t>
  </si>
  <si>
    <t>NSW PIZZA HUT</t>
  </si>
  <si>
    <t>132311K</t>
  </si>
  <si>
    <t>NSW PORTERS</t>
  </si>
  <si>
    <t>1321136</t>
  </si>
  <si>
    <t>NSW PUBMART</t>
  </si>
  <si>
    <t>132111E</t>
  </si>
  <si>
    <t>NSW RADISSON HOTELS</t>
  </si>
  <si>
    <t>13231RD</t>
  </si>
  <si>
    <t>NSW RED ROCK LEISURE</t>
  </si>
  <si>
    <t>132311Y</t>
  </si>
  <si>
    <t>NSW REGENT HOTELS</t>
  </si>
  <si>
    <t>132311M</t>
  </si>
  <si>
    <t>NSW RENDEZVOUS HOTELS</t>
  </si>
  <si>
    <t>13231RV</t>
  </si>
  <si>
    <t>NSW RESTAURANTS OF THE ROCKS</t>
  </si>
  <si>
    <t>1323129</t>
  </si>
  <si>
    <t>NSW RETAIL LIQUOR@</t>
  </si>
  <si>
    <t>1321120</t>
  </si>
  <si>
    <t>NSW RETAIL NORTHERN</t>
  </si>
  <si>
    <t>13211D1N</t>
  </si>
  <si>
    <t>NSW RETAIL SOUTHERN</t>
  </si>
  <si>
    <t>13211D1S</t>
  </si>
  <si>
    <t>NSW REVESBY WORKERS CLUB</t>
  </si>
  <si>
    <t>132311CR</t>
  </si>
  <si>
    <t>NSW RIBS &amp; RUMPS</t>
  </si>
  <si>
    <t>13232U1</t>
  </si>
  <si>
    <t>NSW RIVERSDALE</t>
  </si>
  <si>
    <t>13232RD</t>
  </si>
  <si>
    <t>NSW ROOTY HILL RSL CLUB</t>
  </si>
  <si>
    <t>132311CH</t>
  </si>
  <si>
    <t>NSW RSL CLUBS</t>
  </si>
  <si>
    <t>13232R1</t>
  </si>
  <si>
    <t>NSW RYDGES</t>
  </si>
  <si>
    <t>1323114</t>
  </si>
  <si>
    <t>NSW SALES</t>
  </si>
  <si>
    <t>1321</t>
  </si>
  <si>
    <t>NSW SALES ADMINISTRATION</t>
  </si>
  <si>
    <t>1320</t>
  </si>
  <si>
    <t>NSW SIGNE</t>
  </si>
  <si>
    <t>13232SG</t>
  </si>
  <si>
    <t>NSW SODEXHO</t>
  </si>
  <si>
    <t>1323116</t>
  </si>
  <si>
    <t>NSW SOLOTEL</t>
  </si>
  <si>
    <t>1321192B</t>
  </si>
  <si>
    <t>NSW SPORTS CLUBS</t>
  </si>
  <si>
    <t>13232C1</t>
  </si>
  <si>
    <t>NSW SPOTLESS CATERING</t>
  </si>
  <si>
    <t>132311S</t>
  </si>
  <si>
    <t>NSW STAMFORD HOTELS</t>
  </si>
  <si>
    <t>132311Z</t>
  </si>
  <si>
    <t>NSW STARWOOD GROUP</t>
  </si>
  <si>
    <t>132311N</t>
  </si>
  <si>
    <t>NSW SUNDOWNER GROUP</t>
  </si>
  <si>
    <t>132311W</t>
  </si>
  <si>
    <t>NSW SUNDRY ACCOUNTS</t>
  </si>
  <si>
    <t>1321100</t>
  </si>
  <si>
    <t>NSW TABCORP</t>
  </si>
  <si>
    <t>13231TC</t>
  </si>
  <si>
    <t>NSW THIRSTY CAMEL</t>
  </si>
  <si>
    <t>132111YA</t>
  </si>
  <si>
    <t>NSW TOGA HOSPITALITY</t>
  </si>
  <si>
    <t>132312T</t>
  </si>
  <si>
    <t>NSW TOSCANI'S</t>
  </si>
  <si>
    <t>1323111K</t>
  </si>
  <si>
    <t>NSW TOSTI CELLARS</t>
  </si>
  <si>
    <t>132111O3</t>
  </si>
  <si>
    <t>NSW URBAN PURVEYOR GROUP</t>
  </si>
  <si>
    <t>13232UP</t>
  </si>
  <si>
    <t>NSW VALORES</t>
  </si>
  <si>
    <t>13211DG</t>
  </si>
  <si>
    <t>NSW WINE SELECTORS</t>
  </si>
  <si>
    <t>13211D6</t>
  </si>
  <si>
    <t>NSW WYONG LEAGUES CLUB</t>
  </si>
  <si>
    <t>132311CW</t>
  </si>
  <si>
    <t xml:space="preserve">         COOP PURCHASE ORDER FORM</t>
  </si>
  <si>
    <t>PROMO PERIOD:</t>
  </si>
  <si>
    <t>Payment Made</t>
  </si>
  <si>
    <t>Actual COOP</t>
  </si>
  <si>
    <t>State</t>
  </si>
  <si>
    <t>Sub Brand
Code</t>
  </si>
  <si>
    <t>G/L coding</t>
  </si>
  <si>
    <t>GL code</t>
  </si>
  <si>
    <t>Amount</t>
  </si>
  <si>
    <t>Total</t>
  </si>
  <si>
    <t>No Payment will be made 
unless above COOP P/O #
is quoted on invoice</t>
  </si>
  <si>
    <t>COOP P/O ID #</t>
  </si>
  <si>
    <t>Invoice Date:</t>
  </si>
  <si>
    <t>Invoice Number:</t>
  </si>
  <si>
    <t>Total Invoice amount</t>
  </si>
  <si>
    <t>Requested by:</t>
  </si>
  <si>
    <r>
      <t xml:space="preserve">Authoriser:  </t>
    </r>
    <r>
      <rPr>
        <sz val="10"/>
        <color theme="1"/>
        <rFont val="Calibri"/>
        <family val="2"/>
        <scheme val="minor"/>
      </rPr>
      <t>(Print name)</t>
    </r>
  </si>
  <si>
    <t>Authoriser Signature:</t>
  </si>
  <si>
    <t>Actual Committed COOP</t>
  </si>
  <si>
    <t>Payment Made to date</t>
  </si>
  <si>
    <t>Outstanding COOP Balance</t>
  </si>
  <si>
    <t>Creator</t>
  </si>
  <si>
    <t>Period</t>
  </si>
  <si>
    <t>Accrual table &amp; Prepayment Table  (payments &lt; $10k are expensed to PnL irrespective of whether they create a prepayment, prepayments of this type have been excluded from this table)</t>
  </si>
  <si>
    <t>COOP P/O
Ref #</t>
  </si>
  <si>
    <t>Payment Request</t>
  </si>
  <si>
    <t>Invoice Amount Incl. GST</t>
  </si>
  <si>
    <t>Description</t>
  </si>
  <si>
    <t>CUSTOMER CONTACT</t>
  </si>
  <si>
    <t>Email</t>
  </si>
  <si>
    <t>Phone</t>
  </si>
  <si>
    <t>Creator Name:</t>
  </si>
  <si>
    <t>COOP Statement for Period Ended:</t>
  </si>
  <si>
    <t>31 January</t>
  </si>
  <si>
    <t>31 Jan 2013</t>
  </si>
  <si>
    <t>Banner
Region
Code</t>
  </si>
  <si>
    <t>Banner 
Region</t>
  </si>
  <si>
    <t>Volumes</t>
  </si>
  <si>
    <t>Volume (Litres)</t>
  </si>
  <si>
    <t>Volume (9L Cases)</t>
  </si>
  <si>
    <t>Gross Sales</t>
  </si>
  <si>
    <t>COOP</t>
  </si>
  <si>
    <t>Allowances and Discounts</t>
  </si>
  <si>
    <t xml:space="preserve">Net Sales </t>
  </si>
  <si>
    <t>COGS &amp; Dist</t>
  </si>
  <si>
    <t>Contributive margin</t>
  </si>
  <si>
    <t>A&amp;P expenses</t>
  </si>
  <si>
    <t>CAAP</t>
  </si>
  <si>
    <t>RATIOS</t>
  </si>
  <si>
    <t>Gross Sales/L</t>
  </si>
  <si>
    <t>Allowances &amp; Discounts % Gross Sales</t>
  </si>
  <si>
    <t>Net Sales/L</t>
  </si>
  <si>
    <t>COGS &amp; Dist/L</t>
  </si>
  <si>
    <t>Contributive Margin/L</t>
  </si>
  <si>
    <t>Contributive Margin % Net Sales</t>
  </si>
  <si>
    <t>Total A&amp;P % Net Sales</t>
  </si>
  <si>
    <t>CAAP/L</t>
  </si>
  <si>
    <t>OP Contract Reference Number:</t>
  </si>
  <si>
    <t>Contract Start Date:</t>
  </si>
  <si>
    <t>Contract End Date:</t>
  </si>
  <si>
    <t>Account Manager:</t>
  </si>
  <si>
    <t>Client:</t>
  </si>
  <si>
    <t>PNL</t>
  </si>
  <si>
    <t xml:space="preserve">Wine </t>
  </si>
  <si>
    <t>Spirits</t>
  </si>
  <si>
    <t>Finance Comments</t>
  </si>
  <si>
    <t>On Premise Comments</t>
  </si>
  <si>
    <t>KWI</t>
  </si>
  <si>
    <t>Total A&amp;D</t>
  </si>
  <si>
    <t>CM</t>
  </si>
  <si>
    <t>Category</t>
  </si>
  <si>
    <t>Contract Type</t>
  </si>
  <si>
    <t>Cash Payments</t>
  </si>
  <si>
    <t>Promotional Fund</t>
  </si>
  <si>
    <t>Staff Incentives</t>
  </si>
  <si>
    <t>PRA Hospitality</t>
  </si>
  <si>
    <t>A&amp;P</t>
  </si>
  <si>
    <t>Reciprocal Spend</t>
  </si>
  <si>
    <t>Standard Terms</t>
  </si>
  <si>
    <t>Additional Terms</t>
  </si>
  <si>
    <t>COP Rebate</t>
  </si>
  <si>
    <t>QA3 per 9lc</t>
  </si>
  <si>
    <t>Wine LUC / Spirit NIP</t>
  </si>
  <si>
    <t>RTD</t>
  </si>
  <si>
    <t>Banner Terms</t>
  </si>
  <si>
    <t>Adj name</t>
  </si>
  <si>
    <t>Threshold UM</t>
  </si>
  <si>
    <t>Factor Value Numeric</t>
  </si>
  <si>
    <t>B C</t>
  </si>
  <si>
    <t>Basis Code</t>
  </si>
  <si>
    <t>Customer Number</t>
  </si>
  <si>
    <t>Cur Cod</t>
  </si>
  <si>
    <t>Effective Date</t>
  </si>
  <si>
    <t>Expired Date</t>
  </si>
  <si>
    <t>Item Price</t>
  </si>
  <si>
    <t>Source</t>
  </si>
  <si>
    <t>Contract Ref</t>
  </si>
  <si>
    <t>Start</t>
  </si>
  <si>
    <t>Duration</t>
  </si>
  <si>
    <t>RTM</t>
  </si>
  <si>
    <t>AM</t>
  </si>
  <si>
    <t>Contract Level</t>
  </si>
  <si>
    <t>Group Name</t>
  </si>
  <si>
    <t>Match Code</t>
  </si>
  <si>
    <t>Site Code</t>
  </si>
  <si>
    <t>Outlet Name</t>
  </si>
  <si>
    <t>Banner Region Code</t>
  </si>
  <si>
    <t>Sub Brand Code</t>
  </si>
  <si>
    <t>Fastar</t>
  </si>
  <si>
    <t>FAMILY</t>
  </si>
  <si>
    <t>Product Tupe</t>
  </si>
  <si>
    <t>Lts</t>
  </si>
  <si>
    <t>GSV</t>
  </si>
  <si>
    <t>Normal TT</t>
  </si>
  <si>
    <t>Conditional Terms</t>
  </si>
  <si>
    <t>WSPP</t>
  </si>
  <si>
    <t>Other</t>
  </si>
  <si>
    <t>NSV</t>
  </si>
  <si>
    <t>Pros Segmentation</t>
  </si>
  <si>
    <t>Extention Start</t>
  </si>
  <si>
    <t>Extention End</t>
  </si>
  <si>
    <t>COGS And DISTR</t>
  </si>
  <si>
    <t>End</t>
  </si>
  <si>
    <t>QLD</t>
  </si>
  <si>
    <t xml:space="preserve">Supplier Group / Customer Deal Authorisation </t>
  </si>
  <si>
    <t>PROMO ID</t>
  </si>
  <si>
    <t>IBA PROMO DATES</t>
  </si>
  <si>
    <t>FROM DATE</t>
  </si>
  <si>
    <t>TO DATE</t>
  </si>
  <si>
    <t>Deal Buying Period</t>
  </si>
  <si>
    <t>CUSTOMER LEVEL DEAL</t>
  </si>
  <si>
    <t>SUPPLIER INFORMATION</t>
  </si>
  <si>
    <t>DEAL START DATE</t>
  </si>
  <si>
    <t>Supplier Name</t>
  </si>
  <si>
    <t>Pernod Ricard Australia</t>
  </si>
  <si>
    <t>DEAL END DATE</t>
  </si>
  <si>
    <t>Supplier Number</t>
  </si>
  <si>
    <t>Submitted By</t>
  </si>
  <si>
    <t>Applicable to States</t>
  </si>
  <si>
    <t>Position</t>
  </si>
  <si>
    <t>NSW</t>
  </si>
  <si>
    <t>WA</t>
  </si>
  <si>
    <t>GROUP LEVEL DEAL</t>
  </si>
  <si>
    <t>Reference Code</t>
  </si>
  <si>
    <t>VIC</t>
  </si>
  <si>
    <t>TAS</t>
  </si>
  <si>
    <t xml:space="preserve">QLD </t>
  </si>
  <si>
    <t>NT</t>
  </si>
  <si>
    <t>Major Group No</t>
  </si>
  <si>
    <t>SA</t>
  </si>
  <si>
    <t>ACT</t>
  </si>
  <si>
    <t>Group Contact</t>
  </si>
  <si>
    <t>Case Qty Restriction Per Customer in Grp</t>
  </si>
  <si>
    <t>If this form has been transmitted via email, then it will be assumed to have been signed by the initiator of the email to which it is attached, and must be received from the Supplier</t>
  </si>
  <si>
    <t>ALL ALLOWANCES MUST BE EXPRESSED PER CARTON</t>
  </si>
  <si>
    <t>Reason for Submission                      Deals are applied on heirachial basis &amp; applied to group/customer base price unless otherwise specified, where applicable.</t>
  </si>
  <si>
    <t>ALM Code</t>
  </si>
  <si>
    <t>Full Product Description</t>
  </si>
  <si>
    <t>CLAIM Value</t>
  </si>
  <si>
    <t>Additional Discount per Case on Scan</t>
  </si>
  <si>
    <t>Purchase QTY (cases)</t>
  </si>
  <si>
    <t>Actual Bonus</t>
  </si>
  <si>
    <t>MIXED BUY Y/N</t>
  </si>
  <si>
    <t>Bonus Product Code</t>
  </si>
  <si>
    <t>Bonus Product Description</t>
  </si>
  <si>
    <t xml:space="preserve">SIZE </t>
  </si>
  <si>
    <t>to be supplied</t>
  </si>
  <si>
    <t>$ or</t>
  </si>
  <si>
    <t>Pre-paid</t>
  </si>
  <si>
    <t>QDA</t>
  </si>
  <si>
    <t>Bonus</t>
  </si>
  <si>
    <t>% on QDA only</t>
  </si>
  <si>
    <t>No-Claim</t>
  </si>
  <si>
    <t>Level</t>
  </si>
  <si>
    <t>Cases</t>
  </si>
  <si>
    <t>Units</t>
  </si>
  <si>
    <t>X</t>
  </si>
  <si>
    <t>YES</t>
  </si>
  <si>
    <t>Price Override</t>
  </si>
  <si>
    <t xml:space="preserve"> </t>
  </si>
  <si>
    <t>NO</t>
  </si>
  <si>
    <t>For submitting Price Overrides, refer to separate sheet from your ALM state contact</t>
  </si>
  <si>
    <t>Customer Level Deal</t>
  </si>
  <si>
    <t>or</t>
  </si>
  <si>
    <t>3</t>
  </si>
  <si>
    <t>Restrictive Promotions</t>
  </si>
  <si>
    <t>4</t>
  </si>
  <si>
    <t>Promotions</t>
  </si>
  <si>
    <t>5</t>
  </si>
  <si>
    <t>Group Allowances</t>
  </si>
  <si>
    <t>and/or</t>
  </si>
  <si>
    <t/>
  </si>
  <si>
    <t>6</t>
  </si>
  <si>
    <t>Unconditional Deals</t>
  </si>
  <si>
    <t>7</t>
  </si>
  <si>
    <t>Qty Dependant Allowance</t>
  </si>
  <si>
    <t>8</t>
  </si>
  <si>
    <t>Apply Existing QDA's</t>
  </si>
  <si>
    <t>Complete</t>
  </si>
  <si>
    <t>Incomplete</t>
  </si>
  <si>
    <t>Apply Existing Bonus Stock</t>
  </si>
  <si>
    <t>Supplier Confirmation:  We certify that the above allowance(s) paid to ALM carry no conditions other than the achievement of agreed purchase volumes. In amplification of that point, we confirm that ALM's customer provides no compensation and no commercially valuable rights in exchange for the payment of the allowances. We understand that ALM will rely on these warranties in accounting for it's responsibilities under the WET and GST law and that it may seek to recover damages in the event that the information contained in this confirmation is proved incorrect. In the event that new rebate / QA's are negotiated with the buying groups, nominated above, or the circumstances governing their payment change so that they become conditional we acknowledge our responsibility to advise ALM of that change.  The above conditions also apply to bonus stock arrangements. All submissions must be received 7 working days priors of commencement date. ALM reserve the right to charge late penalty fees.</t>
  </si>
  <si>
    <t>Received by</t>
  </si>
  <si>
    <t>PROCESSED BY</t>
  </si>
  <si>
    <t xml:space="preserve">CHECKED BY </t>
  </si>
  <si>
    <t>Date Received</t>
  </si>
  <si>
    <t>Status Received</t>
  </si>
  <si>
    <t xml:space="preserve">DATE: </t>
  </si>
  <si>
    <t>Comment</t>
  </si>
  <si>
    <t>End Customer Discount and Bonus Stock Dealsheet for Wholesalers</t>
  </si>
  <si>
    <t>PRA Unique Promo Reference Number</t>
  </si>
  <si>
    <t>Supplier</t>
  </si>
  <si>
    <t>Comments</t>
  </si>
  <si>
    <t>Supplier#</t>
  </si>
  <si>
    <t>PRA Contact Info</t>
  </si>
  <si>
    <t>PRA Contact Name:</t>
  </si>
  <si>
    <t>PRA Contact Phone Number</t>
  </si>
  <si>
    <t>PRA Contact Email</t>
  </si>
  <si>
    <t>PRA Authoriser's Name:</t>
  </si>
  <si>
    <t>PRA Authoriser's Email</t>
  </si>
  <si>
    <t>Customer Contact Info</t>
  </si>
  <si>
    <t>Contact Name</t>
  </si>
  <si>
    <t>Phone Number</t>
  </si>
  <si>
    <t>Email Address</t>
  </si>
  <si>
    <t>On Premise</t>
  </si>
  <si>
    <t>Y/N</t>
  </si>
  <si>
    <t>Outlet Type</t>
  </si>
  <si>
    <t>Dropdown : Pub, bar, Hotel, resturant, nightclub</t>
  </si>
  <si>
    <t>Deal Level</t>
  </si>
  <si>
    <t>Banner</t>
  </si>
  <si>
    <t>ALL</t>
  </si>
  <si>
    <t>Banner Region Name</t>
  </si>
  <si>
    <t>NSW/ACT</t>
  </si>
  <si>
    <t>VIC/TAS</t>
  </si>
  <si>
    <t>Outlet Number (wholesaler)</t>
  </si>
  <si>
    <t>Dates</t>
  </si>
  <si>
    <t>Case Qty Restriction</t>
  </si>
  <si>
    <t>No of Cases</t>
  </si>
  <si>
    <t>Promo Dates</t>
  </si>
  <si>
    <t>Per Customer in Group</t>
  </si>
  <si>
    <t>Per Banner Region</t>
  </si>
  <si>
    <t>Product Informaiton</t>
  </si>
  <si>
    <t>BONUS</t>
  </si>
  <si>
    <t>W/S Product Code</t>
  </si>
  <si>
    <t>Discount Per Case (sales in)</t>
  </si>
  <si>
    <t>Additional Discount per Case (on Scan out)</t>
  </si>
  <si>
    <t>QDA:
Number of cases needed</t>
  </si>
  <si>
    <t xml:space="preserve">Actual Bonus </t>
  </si>
  <si>
    <t>Bonus W/S Product Code</t>
  </si>
  <si>
    <t>$</t>
  </si>
  <si>
    <t>Minimum Quantity Threshold</t>
  </si>
  <si>
    <t>Maximum Number of Cases to be sold on Promo</t>
  </si>
  <si>
    <t>Consumer RSP for Deal</t>
  </si>
  <si>
    <t>Ratio (e.g. 5:1)</t>
  </si>
  <si>
    <t xml:space="preserve"> Bonus Level
e.g.5</t>
  </si>
  <si>
    <t>Actual Bonus 
 e.g. 1</t>
  </si>
  <si>
    <t>Drop Down</t>
  </si>
  <si>
    <t>Auto Populated</t>
  </si>
  <si>
    <t>Number field</t>
  </si>
  <si>
    <t>(Std+Addl)</t>
  </si>
  <si>
    <t>Status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</si>
</sst>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8" formatCode="&quot;$&quot;#,##0.00_);[Red]\(&quot;$&quot;#,##0.00\)"/>
    <numFmt numFmtId="44" formatCode="_(&quot;$&quot;* #,##0.00_);_(&quot;$&quot;* \(#,##0.00\);_(&quot;$&quot;* &quot;-&quot;??_);_(@_)"/>
    <numFmt numFmtId="43" formatCode="_(* #,##0.00_);_(* \(#,##0.00\);_(* &quot;-&quot;??_);_(@_)"/>
    <numFmt numFmtId="164" formatCode="&quot;$&quot;#,##0.00;\-&quot;$&quot;#,##0.00"/>
    <numFmt numFmtId="165" formatCode="_-&quot;$&quot;* #,##0.00_-;\-&quot;$&quot;* #,##0.00_-;_-&quot;$&quot;* &quot;-&quot;??_-;_-@_-"/>
    <numFmt numFmtId="166" formatCode="_-* #,##0.00_-;\-* #,##0.00_-;_-* &quot;-&quot;??_-;_-@_-"/>
    <numFmt numFmtId="167" formatCode="#,##0;\-#,##0;&quot;-&quot;"/>
    <numFmt numFmtId="168" formatCode="&quot;$&quot;#,##0.00"/>
    <numFmt numFmtId="169" formatCode="d/mm/yyyy;@"/>
    <numFmt numFmtId="170" formatCode="_(* #,##0_);_(* \(#,##0\);_(* &quot;-&quot;??_);_(@_)"/>
    <numFmt numFmtId="171" formatCode="_(* #,##0.0%_);_(* \(#,##0.0%\);_(* &quot;-&quot;??_);_(@_)"/>
    <numFmt numFmtId="172" formatCode="#,##0.0"/>
    <numFmt numFmtId="173" formatCode="_-&quot;$&quot;* #,##0.00_-;&quot;$&quot;* \(#,##0.00\)_-;_-&quot;$&quot;* &quot;-&quot;??_-;_-@_-"/>
    <numFmt numFmtId="174" formatCode="_(\ #,##0_);[Red]_(\ \(#,##0\);_(\ &quot;-&quot;??_);_(@_)"/>
    <numFmt numFmtId="175" formatCode="[$-409]d\-mmm\-yyyy;@"/>
    <numFmt numFmtId="176" formatCode="0.0000######"/>
  </numFmts>
  <fonts count="114" x14ac:knownFonts="1">
    <font>
      <sz val="11"/>
      <color theme="1"/>
      <name val="Calibri"/>
      <family val="2"/>
      <scheme val="minor"/>
    </font>
    <font>
      <sz val="10"/>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sz val="12"/>
      <color rgb="FF9C0006"/>
      <name val="Calibri"/>
      <family val="2"/>
      <scheme val="minor"/>
    </font>
    <font>
      <sz val="10"/>
      <color indexed="8"/>
      <name val="Arial"/>
      <family val="2"/>
    </font>
    <font>
      <sz val="10"/>
      <color theme="1"/>
      <name val="Arial"/>
      <family val="2"/>
    </font>
    <font>
      <sz val="8"/>
      <name val="Arial Narrow"/>
      <family val="2"/>
    </font>
    <font>
      <b/>
      <sz val="12"/>
      <name val="Arial"/>
      <family val="2"/>
    </font>
    <font>
      <u/>
      <sz val="10"/>
      <color indexed="12"/>
      <name val="Arial"/>
      <family val="2"/>
    </font>
    <font>
      <sz val="10"/>
      <name val="Arial"/>
      <family val="2"/>
    </font>
    <font>
      <sz val="11"/>
      <color rgb="FF000000"/>
      <name val="Calibri"/>
      <family val="2"/>
    </font>
    <font>
      <sz val="14"/>
      <name val="Century Schoolbook"/>
      <family val="1"/>
    </font>
    <font>
      <b/>
      <sz val="14"/>
      <name val="Century Schoolbook"/>
      <family val="1"/>
    </font>
    <font>
      <sz val="14"/>
      <name val="Arial"/>
      <family val="2"/>
    </font>
    <font>
      <b/>
      <sz val="14"/>
      <name val="Arial"/>
      <family val="2"/>
    </font>
    <font>
      <b/>
      <sz val="14"/>
      <color indexed="63"/>
      <name val="Arial"/>
      <family val="2"/>
    </font>
    <font>
      <b/>
      <sz val="35"/>
      <name val="Arial"/>
      <family val="2"/>
    </font>
    <font>
      <b/>
      <sz val="14"/>
      <color indexed="55"/>
      <name val="Arial"/>
      <family val="2"/>
    </font>
    <font>
      <b/>
      <sz val="14"/>
      <color indexed="55"/>
      <name val="Century Schoolbook"/>
      <family val="1"/>
    </font>
    <font>
      <sz val="14"/>
      <color rgb="FFFF0000"/>
      <name val="Arial"/>
      <family val="2"/>
    </font>
    <font>
      <b/>
      <sz val="11"/>
      <color rgb="FF000000"/>
      <name val="Calibri"/>
      <family val="2"/>
    </font>
    <font>
      <b/>
      <i/>
      <sz val="14"/>
      <color indexed="23"/>
      <name val="Arial"/>
      <family val="2"/>
    </font>
    <font>
      <i/>
      <sz val="14"/>
      <color indexed="23"/>
      <name val="Arial"/>
      <family val="2"/>
    </font>
    <font>
      <b/>
      <i/>
      <sz val="14"/>
      <name val="Arial"/>
      <family val="2"/>
    </font>
    <font>
      <b/>
      <sz val="14"/>
      <color rgb="FFFF0000"/>
      <name val="Arial"/>
      <family val="2"/>
    </font>
    <font>
      <sz val="14"/>
      <name val="Calibri"/>
      <family val="2"/>
      <scheme val="minor"/>
    </font>
    <font>
      <sz val="20"/>
      <name val="Calibri"/>
      <family val="2"/>
      <scheme val="minor"/>
    </font>
    <font>
      <sz val="14"/>
      <color indexed="55"/>
      <name val="Calibri"/>
      <family val="2"/>
      <scheme val="minor"/>
    </font>
    <font>
      <b/>
      <sz val="14"/>
      <color indexed="55"/>
      <name val="Calibri"/>
      <family val="2"/>
      <scheme val="minor"/>
    </font>
    <font>
      <b/>
      <sz val="14"/>
      <name val="Calibri"/>
      <family val="2"/>
      <scheme val="minor"/>
    </font>
    <font>
      <b/>
      <sz val="20"/>
      <name val="Calibri"/>
      <family val="2"/>
      <scheme val="minor"/>
    </font>
    <font>
      <b/>
      <sz val="20"/>
      <color indexed="55"/>
      <name val="Calibri"/>
      <family val="2"/>
      <scheme val="minor"/>
    </font>
    <font>
      <b/>
      <sz val="14"/>
      <color rgb="FFFF0000"/>
      <name val="Calibri"/>
      <family val="2"/>
      <scheme val="minor"/>
    </font>
    <font>
      <b/>
      <sz val="20"/>
      <color rgb="FFFF0000"/>
      <name val="Calibri"/>
      <family val="2"/>
      <scheme val="minor"/>
    </font>
    <font>
      <sz val="14"/>
      <color rgb="FFFF0000"/>
      <name val="Calibri"/>
      <family val="2"/>
      <scheme val="minor"/>
    </font>
    <font>
      <b/>
      <sz val="18"/>
      <color rgb="FFFF0000"/>
      <name val="Calibri"/>
      <family val="2"/>
      <scheme val="minor"/>
    </font>
    <font>
      <b/>
      <sz val="14"/>
      <color rgb="FF000000"/>
      <name val="Calibri"/>
      <family val="2"/>
    </font>
    <font>
      <sz val="14"/>
      <color theme="1"/>
      <name val="Calibri"/>
      <family val="2"/>
      <scheme val="minor"/>
    </font>
    <font>
      <b/>
      <sz val="14"/>
      <name val="Calibri"/>
      <family val="2"/>
    </font>
    <font>
      <b/>
      <sz val="36"/>
      <color rgb="FF000000"/>
      <name val="Calibri"/>
      <family val="2"/>
    </font>
    <font>
      <b/>
      <sz val="11"/>
      <name val="Arial"/>
      <family val="2"/>
    </font>
    <font>
      <b/>
      <sz val="12"/>
      <name val="Calibri"/>
      <family val="2"/>
      <scheme val="minor"/>
    </font>
    <font>
      <u/>
      <sz val="10"/>
      <color theme="10"/>
      <name val="Arial"/>
      <family val="2"/>
    </font>
    <font>
      <b/>
      <sz val="14"/>
      <color theme="0"/>
      <name val="Arial"/>
      <family val="2"/>
    </font>
    <font>
      <sz val="14"/>
      <color theme="0"/>
      <name val="Arial"/>
      <family val="2"/>
    </font>
    <font>
      <b/>
      <sz val="16"/>
      <color theme="0"/>
      <name val="Calibri"/>
      <family val="2"/>
      <scheme val="minor"/>
    </font>
    <font>
      <b/>
      <sz val="14"/>
      <color theme="0"/>
      <name val="Calibri"/>
      <family val="2"/>
      <scheme val="minor"/>
    </font>
    <font>
      <b/>
      <sz val="16"/>
      <name val="Calibri"/>
      <family val="2"/>
      <scheme val="minor"/>
    </font>
    <font>
      <b/>
      <u/>
      <sz val="11"/>
      <color theme="1"/>
      <name val="Calibri"/>
      <family val="2"/>
      <scheme val="minor"/>
    </font>
    <font>
      <b/>
      <sz val="16"/>
      <name val="Arial"/>
      <family val="2"/>
    </font>
    <font>
      <b/>
      <u/>
      <sz val="14"/>
      <color theme="1"/>
      <name val="Calibri"/>
      <family val="2"/>
      <scheme val="minor"/>
    </font>
    <font>
      <sz val="10"/>
      <color theme="1"/>
      <name val="Calibri"/>
      <family val="2"/>
      <scheme val="minor"/>
    </font>
    <font>
      <b/>
      <sz val="10"/>
      <color theme="1"/>
      <name val="Calibri"/>
      <family val="2"/>
      <scheme val="minor"/>
    </font>
    <font>
      <sz val="11"/>
      <name val="Arial"/>
      <family val="2"/>
    </font>
    <font>
      <b/>
      <sz val="10"/>
      <name val="Arial"/>
      <family val="2"/>
    </font>
    <font>
      <b/>
      <sz val="11"/>
      <color indexed="9"/>
      <name val="Arial"/>
      <family val="2"/>
    </font>
    <font>
      <sz val="10"/>
      <color theme="0"/>
      <name val="Arial"/>
      <family val="2"/>
    </font>
    <font>
      <sz val="11"/>
      <name val="Calibri"/>
      <family val="2"/>
      <scheme val="minor"/>
    </font>
    <font>
      <b/>
      <sz val="11"/>
      <name val="Calibri"/>
      <family val="2"/>
      <scheme val="minor"/>
    </font>
    <font>
      <b/>
      <sz val="12"/>
      <color theme="1"/>
      <name val="Calibri"/>
      <family val="2"/>
      <scheme val="minor"/>
    </font>
    <font>
      <sz val="11"/>
      <color theme="0"/>
      <name val="Arial"/>
      <family val="2"/>
    </font>
    <font>
      <sz val="11"/>
      <color theme="1"/>
      <name val="Arial"/>
      <family val="2"/>
    </font>
    <font>
      <sz val="8"/>
      <color theme="1"/>
      <name val="Century Gothic"/>
      <family val="2"/>
    </font>
    <font>
      <sz val="11"/>
      <color indexed="8"/>
      <name val="Calibri"/>
      <family val="2"/>
    </font>
    <font>
      <b/>
      <sz val="11"/>
      <color indexed="8"/>
      <name val="Calibri"/>
      <family val="2"/>
    </font>
    <font>
      <b/>
      <u/>
      <sz val="16"/>
      <name val="Arial"/>
      <family val="2"/>
    </font>
    <font>
      <b/>
      <sz val="12"/>
      <color theme="0"/>
      <name val="Arial"/>
      <family val="2"/>
    </font>
    <font>
      <b/>
      <i/>
      <sz val="10"/>
      <name val="Arial"/>
      <family val="2"/>
    </font>
    <font>
      <b/>
      <sz val="12"/>
      <color indexed="12"/>
      <name val="Arial"/>
      <family val="2"/>
    </font>
    <font>
      <b/>
      <sz val="18"/>
      <name val="Arial"/>
      <family val="2"/>
    </font>
    <font>
      <sz val="12"/>
      <name val="Arial"/>
      <family val="2"/>
    </font>
    <font>
      <sz val="12"/>
      <color indexed="12"/>
      <name val="Arial"/>
      <family val="2"/>
    </font>
    <font>
      <b/>
      <sz val="14"/>
      <color indexed="12"/>
      <name val="Arial"/>
      <family val="2"/>
    </font>
    <font>
      <b/>
      <i/>
      <sz val="10"/>
      <color indexed="9"/>
      <name val="Arial"/>
      <family val="2"/>
    </font>
    <font>
      <b/>
      <i/>
      <sz val="8"/>
      <color indexed="9"/>
      <name val="Arial"/>
      <family val="2"/>
    </font>
    <font>
      <b/>
      <sz val="11"/>
      <color indexed="8"/>
      <name val="Arial"/>
      <family val="2"/>
    </font>
    <font>
      <b/>
      <sz val="12"/>
      <color indexed="8"/>
      <name val="Arial"/>
      <family val="2"/>
    </font>
    <font>
      <sz val="8"/>
      <name val="Arial"/>
      <family val="2"/>
    </font>
    <font>
      <b/>
      <sz val="9"/>
      <name val="Arial"/>
      <family val="2"/>
    </font>
    <font>
      <sz val="9"/>
      <name val="Arial"/>
      <family val="2"/>
    </font>
    <font>
      <b/>
      <sz val="14"/>
      <color indexed="10"/>
      <name val="Arial"/>
      <family val="2"/>
    </font>
    <font>
      <i/>
      <sz val="9"/>
      <name val="Arial"/>
      <family val="2"/>
    </font>
    <font>
      <b/>
      <u/>
      <sz val="22"/>
      <name val="Arial"/>
      <family val="2"/>
    </font>
    <font>
      <b/>
      <u/>
      <sz val="18"/>
      <name val="Arial"/>
      <family val="2"/>
    </font>
    <font>
      <b/>
      <u/>
      <sz val="14"/>
      <name val="Arial"/>
      <family val="2"/>
    </font>
    <font>
      <u/>
      <sz val="14"/>
      <name val="Arial"/>
      <family val="2"/>
    </font>
    <font>
      <u/>
      <sz val="12"/>
      <color theme="10"/>
      <name val="Calibri"/>
      <family val="2"/>
      <scheme val="minor"/>
    </font>
    <font>
      <u/>
      <sz val="14"/>
      <color theme="10"/>
      <name val="Arial"/>
      <family val="2"/>
    </font>
    <font>
      <b/>
      <sz val="28"/>
      <color indexed="12"/>
      <name val="Arial"/>
      <family val="2"/>
    </font>
    <font>
      <sz val="14"/>
      <color indexed="12"/>
      <name val="Arial"/>
      <family val="2"/>
    </font>
    <font>
      <b/>
      <i/>
      <sz val="14"/>
      <color indexed="9"/>
      <name val="Arial"/>
      <family val="2"/>
    </font>
    <font>
      <b/>
      <sz val="14"/>
      <color indexed="8"/>
      <name val="Arial"/>
      <family val="2"/>
    </font>
    <font>
      <i/>
      <sz val="14"/>
      <name val="Arial"/>
      <family val="2"/>
    </font>
    <font>
      <sz val="14"/>
      <color theme="1"/>
      <name val="Arial"/>
      <family val="2"/>
    </font>
    <font>
      <sz val="14"/>
      <color rgb="FF9C0006"/>
      <name val="Arial"/>
      <family val="2"/>
    </font>
    <font>
      <b/>
      <i/>
      <sz val="12"/>
      <name val="Arial"/>
      <family val="2"/>
    </font>
    <font>
      <sz val="12"/>
      <name val="Calibri"/>
      <family val="2"/>
      <scheme val="minor"/>
    </font>
  </fonts>
  <fills count="7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43"/>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theme="9" tint="0.79998168889431442"/>
      </patternFill>
    </fill>
    <fill>
      <patternFill patternType="solid">
        <fgColor indexed="65"/>
        <bgColor theme="0" tint="-0.24994659260841701"/>
      </patternFill>
    </fill>
    <fill>
      <patternFill patternType="solid">
        <fgColor rgb="FFC0C0C0"/>
        <bgColor rgb="FFC0C0C0"/>
      </patternFill>
    </fill>
    <fill>
      <patternFill patternType="solid">
        <fgColor theme="3"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indexed="56"/>
        <bgColor indexed="64"/>
      </patternFill>
    </fill>
    <fill>
      <patternFill patternType="solid">
        <fgColor indexed="9"/>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249977111117893"/>
        <bgColor rgb="FFC0C0C0"/>
      </patternFill>
    </fill>
    <fill>
      <patternFill patternType="solid">
        <fgColor theme="0" tint="-0.249977111117893"/>
        <bgColor indexed="0"/>
      </patternFill>
    </fill>
    <fill>
      <patternFill patternType="solid">
        <fgColor theme="1"/>
        <bgColor indexed="64"/>
      </patternFill>
    </fill>
    <fill>
      <patternFill patternType="solid">
        <fgColor theme="7" tint="-0.249977111117893"/>
        <bgColor indexed="64"/>
      </patternFill>
    </fill>
    <fill>
      <patternFill patternType="solid">
        <fgColor indexed="41"/>
        <bgColor indexed="64"/>
      </patternFill>
    </fill>
    <fill>
      <patternFill patternType="solid">
        <fgColor indexed="46"/>
        <bgColor indexed="64"/>
      </patternFill>
    </fill>
    <fill>
      <patternFill patternType="solid">
        <fgColor indexed="22"/>
        <bgColor indexed="64"/>
      </patternFill>
    </fill>
    <fill>
      <patternFill patternType="solid">
        <fgColor indexed="44"/>
        <bgColor indexed="64"/>
      </patternFill>
    </fill>
    <fill>
      <patternFill patternType="solid">
        <fgColor indexed="47"/>
        <bgColor indexed="64"/>
      </patternFill>
    </fill>
    <fill>
      <patternFill patternType="solid">
        <fgColor indexed="18"/>
        <bgColor indexed="64"/>
      </patternFill>
    </fill>
    <fill>
      <patternFill patternType="solid">
        <fgColor indexed="8"/>
        <bgColor indexed="64"/>
      </patternFill>
    </fill>
    <fill>
      <patternFill patternType="solid">
        <fgColor indexed="55"/>
        <bgColor indexed="64"/>
      </patternFill>
    </fill>
    <fill>
      <patternFill patternType="solid">
        <fgColor indexed="55"/>
        <bgColor indexed="55"/>
      </patternFill>
    </fill>
    <fill>
      <patternFill patternType="solid">
        <fgColor indexed="42"/>
        <bgColor indexed="64"/>
      </patternFill>
    </fill>
    <fill>
      <patternFill patternType="solid">
        <fgColor theme="3"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5" tint="0.79998168889431442"/>
        <bgColor indexed="64"/>
      </patternFill>
    </fill>
  </fills>
  <borders count="1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rgb="FFD0D7E5"/>
      </top>
      <bottom style="thin">
        <color rgb="FFD0D7E5"/>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medium">
        <color auto="1"/>
      </bottom>
      <diagonal/>
    </border>
    <border>
      <left/>
      <right/>
      <top style="thin">
        <color indexed="64"/>
      </top>
      <bottom style="medium">
        <color auto="1"/>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9"/>
      </top>
      <bottom/>
      <diagonal/>
    </border>
    <border>
      <left style="thin">
        <color indexed="64"/>
      </left>
      <right style="thin">
        <color indexed="64"/>
      </right>
      <top style="thin">
        <color indexed="64"/>
      </top>
      <bottom style="double">
        <color indexed="64"/>
      </bottom>
      <diagonal/>
    </border>
    <border>
      <left style="thin">
        <color indexed="64"/>
      </left>
      <right/>
      <top style="thin">
        <color indexed="9"/>
      </top>
      <bottom style="thin">
        <color indexed="64"/>
      </bottom>
      <diagonal/>
    </border>
    <border>
      <left/>
      <right style="thin">
        <color indexed="64"/>
      </right>
      <top style="thin">
        <color indexed="9"/>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double">
        <color indexed="6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thin">
        <color auto="1"/>
      </top>
      <bottom style="medium">
        <color auto="1"/>
      </bottom>
      <diagonal/>
    </border>
    <border>
      <left style="thin">
        <color auto="1"/>
      </left>
      <right style="medium">
        <color auto="1"/>
      </right>
      <top style="medium">
        <color auto="1"/>
      </top>
      <bottom/>
      <diagonal/>
    </border>
    <border>
      <left style="thin">
        <color auto="1"/>
      </left>
      <right style="medium">
        <color auto="1"/>
      </right>
      <top/>
      <bottom style="medium">
        <color auto="1"/>
      </bottom>
      <diagonal/>
    </border>
    <border>
      <left style="medium">
        <color auto="1"/>
      </left>
      <right style="thin">
        <color auto="1"/>
      </right>
      <top/>
      <bottom/>
      <diagonal/>
    </border>
    <border>
      <left style="thin">
        <color auto="1"/>
      </left>
      <right style="medium">
        <color auto="1"/>
      </right>
      <top/>
      <bottom/>
      <diagonal/>
    </border>
    <border>
      <left style="thick">
        <color auto="1"/>
      </left>
      <right/>
      <top/>
      <bottom/>
      <diagonal/>
    </border>
    <border>
      <left style="medium">
        <color auto="1"/>
      </left>
      <right style="thick">
        <color auto="1"/>
      </right>
      <top style="thick">
        <color auto="1"/>
      </top>
      <bottom style="thick">
        <color auto="1"/>
      </bottom>
      <diagonal/>
    </border>
    <border>
      <left style="medium">
        <color auto="1"/>
      </left>
      <right style="medium">
        <color auto="1"/>
      </right>
      <top/>
      <bottom style="thin">
        <color auto="1"/>
      </bottom>
      <diagonal/>
    </border>
    <border>
      <left style="thin">
        <color auto="1"/>
      </left>
      <right style="medium">
        <color auto="1"/>
      </right>
      <top/>
      <bottom style="thin">
        <color auto="1"/>
      </bottom>
      <diagonal/>
    </border>
    <border>
      <left/>
      <right/>
      <top style="thin">
        <color auto="1"/>
      </top>
      <bottom/>
      <diagonal/>
    </border>
    <border>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top style="thin">
        <color auto="1"/>
      </top>
      <bottom style="thin">
        <color auto="1"/>
      </bottom>
      <diagonal/>
    </border>
    <border>
      <left style="medium">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ck">
        <color auto="1"/>
      </right>
      <top style="thick">
        <color auto="1"/>
      </top>
      <bottom style="medium">
        <color auto="1"/>
      </bottom>
      <diagonal/>
    </border>
    <border>
      <left style="medium">
        <color auto="1"/>
      </left>
      <right style="thin">
        <color auto="1"/>
      </right>
      <top style="thin">
        <color auto="1"/>
      </top>
      <bottom/>
      <diagonal/>
    </border>
    <border>
      <left style="medium">
        <color auto="1"/>
      </left>
      <right/>
      <top style="thin">
        <color auto="1"/>
      </top>
      <bottom/>
      <diagonal/>
    </border>
    <border>
      <left style="medium">
        <color auto="1"/>
      </left>
      <right style="medium">
        <color auto="1"/>
      </right>
      <top style="thin">
        <color auto="1"/>
      </top>
      <bottom/>
      <diagonal/>
    </border>
    <border>
      <left/>
      <right style="thin">
        <color auto="1"/>
      </right>
      <top style="thin">
        <color auto="1"/>
      </top>
      <bottom/>
      <diagonal/>
    </border>
    <border>
      <left style="thin">
        <color auto="1"/>
      </left>
      <right style="medium">
        <color auto="1"/>
      </right>
      <top style="thin">
        <color auto="1"/>
      </top>
      <bottom/>
      <diagonal/>
    </border>
    <border>
      <left style="thin">
        <color auto="1"/>
      </left>
      <right/>
      <top style="thin">
        <color auto="1"/>
      </top>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thin">
        <color auto="1"/>
      </right>
      <top style="thin">
        <color auto="1"/>
      </top>
      <bottom style="medium">
        <color auto="1"/>
      </bottom>
      <diagonal/>
    </border>
    <border>
      <left/>
      <right style="medium">
        <color auto="1"/>
      </right>
      <top style="medium">
        <color auto="1"/>
      </top>
      <bottom style="thin">
        <color auto="1"/>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auto="1"/>
      </right>
      <top style="medium">
        <color auto="1"/>
      </top>
      <bottom style="medium">
        <color auto="1"/>
      </bottom>
      <diagonal/>
    </border>
    <border>
      <left style="thin">
        <color auto="1"/>
      </left>
      <right/>
      <top style="medium">
        <color auto="1"/>
      </top>
      <bottom style="thin">
        <color auto="1"/>
      </bottom>
      <diagonal/>
    </border>
  </borders>
  <cellStyleXfs count="131">
    <xf numFmtId="0" fontId="0" fillId="0" borderId="0"/>
    <xf numFmtId="0" fontId="1"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2" fillId="8"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0" fontId="19" fillId="0" borderId="0"/>
    <xf numFmtId="0" fontId="20" fillId="3" borderId="0" applyNumberFormat="0" applyBorder="0" applyAlignment="0" applyProtection="0"/>
    <xf numFmtId="44" fontId="1" fillId="0" borderId="0" applyFont="0" applyFill="0" applyBorder="0" applyAlignment="0" applyProtection="0"/>
    <xf numFmtId="167" fontId="21" fillId="0" borderId="0" applyFill="0" applyBorder="0" applyAlignment="0"/>
    <xf numFmtId="166"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2" fillId="0" borderId="0" applyFont="0" applyFill="0" applyBorder="0" applyAlignment="0" applyProtection="0"/>
    <xf numFmtId="44" fontId="23" fillId="0" borderId="0" applyFont="0" applyFill="0" applyBorder="0" applyAlignment="0" applyProtection="0"/>
    <xf numFmtId="165" fontId="1" fillId="0" borderId="0" applyFont="0" applyFill="0" applyBorder="0" applyAlignment="0" applyProtection="0"/>
    <xf numFmtId="0" fontId="24" fillId="0" borderId="10" applyNumberFormat="0" applyAlignment="0" applyProtection="0">
      <alignment horizontal="left" vertical="center"/>
    </xf>
    <xf numFmtId="0" fontId="24" fillId="0" borderId="11">
      <alignment horizontal="left" vertical="center"/>
    </xf>
    <xf numFmtId="0" fontId="25" fillId="0" borderId="0" applyNumberFormat="0" applyFill="0" applyBorder="0" applyAlignment="0" applyProtection="0">
      <alignment vertical="top"/>
      <protection locked="0"/>
    </xf>
    <xf numFmtId="0" fontId="19" fillId="0" borderId="0"/>
    <xf numFmtId="0" fontId="19" fillId="0" borderId="0"/>
    <xf numFmtId="0" fontId="2" fillId="0" borderId="0"/>
    <xf numFmtId="0" fontId="22" fillId="0" borderId="0"/>
    <xf numFmtId="0" fontId="23"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6" fillId="0" borderId="0"/>
    <xf numFmtId="43" fontId="2" fillId="0" borderId="0" applyFont="0" applyFill="0" applyBorder="0" applyAlignment="0" applyProtection="0"/>
    <xf numFmtId="0" fontId="22" fillId="0" borderId="0"/>
    <xf numFmtId="166" fontId="22" fillId="0" borderId="0" applyFont="0" applyFill="0" applyBorder="0" applyAlignment="0" applyProtection="0"/>
    <xf numFmtId="0" fontId="59" fillId="0" borderId="0" applyNumberFormat="0" applyFill="0" applyBorder="0" applyAlignment="0" applyProtection="0"/>
    <xf numFmtId="165" fontId="2" fillId="0" borderId="0" applyFont="0" applyFill="0" applyBorder="0" applyAlignment="0" applyProtection="0"/>
    <xf numFmtId="165" fontId="1" fillId="0" borderId="0" applyFont="0" applyFill="0" applyBorder="0" applyAlignment="0" applyProtection="0"/>
    <xf numFmtId="165" fontId="23" fillId="0" borderId="0" applyFont="0" applyFill="0" applyBorder="0" applyAlignment="0" applyProtection="0"/>
    <xf numFmtId="0" fontId="1" fillId="0" borderId="0"/>
    <xf numFmtId="166" fontId="19" fillId="0" borderId="0" applyFont="0" applyFill="0" applyBorder="0" applyAlignment="0" applyProtection="0"/>
    <xf numFmtId="165" fontId="19" fillId="0" borderId="0" applyFont="0" applyFill="0" applyBorder="0" applyAlignment="0" applyProtection="0"/>
    <xf numFmtId="9" fontId="1"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 fillId="0" borderId="0"/>
    <xf numFmtId="0" fontId="22" fillId="0" borderId="0"/>
    <xf numFmtId="0" fontId="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166" fontId="22" fillId="0" borderId="0" applyFont="0" applyFill="0" applyBorder="0" applyAlignment="0" applyProtection="0"/>
    <xf numFmtId="9" fontId="22" fillId="0" borderId="0" applyFont="0" applyFill="0" applyBorder="0" applyAlignment="0" applyProtection="0"/>
    <xf numFmtId="9" fontId="19" fillId="0" borderId="0" applyFont="0" applyFill="0" applyBorder="0" applyAlignment="0" applyProtection="0"/>
    <xf numFmtId="0" fontId="2" fillId="14" borderId="0" applyNumberFormat="0" applyBorder="0" applyAlignment="0" applyProtection="0"/>
    <xf numFmtId="0" fontId="7" fillId="2" borderId="0" applyNumberFormat="0" applyBorder="0" applyAlignment="0" applyProtection="0"/>
    <xf numFmtId="0" fontId="1" fillId="0" borderId="0"/>
    <xf numFmtId="0" fontId="79" fillId="0" borderId="0"/>
    <xf numFmtId="0" fontId="2" fillId="0" borderId="0"/>
    <xf numFmtId="0" fontId="21" fillId="0" borderId="0"/>
    <xf numFmtId="0" fontId="2" fillId="0" borderId="0"/>
    <xf numFmtId="0" fontId="103" fillId="0" borderId="0" applyNumberFormat="0" applyFill="0" applyBorder="0" applyAlignment="0" applyProtection="0"/>
  </cellStyleXfs>
  <cellXfs count="869">
    <xf numFmtId="0" fontId="0" fillId="0" borderId="0" xfId="0"/>
    <xf numFmtId="8" fontId="0" fillId="0" borderId="0" xfId="0" applyNumberFormat="1"/>
    <xf numFmtId="14" fontId="18" fillId="33" borderId="0" xfId="0" applyNumberFormat="1" applyFont="1" applyFill="1"/>
    <xf numFmtId="0" fontId="18" fillId="33" borderId="0" xfId="0" applyFont="1" applyFill="1"/>
    <xf numFmtId="0" fontId="37" fillId="39" borderId="12" xfId="69" applyFont="1" applyFill="1" applyBorder="1" applyAlignment="1" applyProtection="1">
      <alignment horizontal="center" vertical="top" wrapText="1"/>
    </xf>
    <xf numFmtId="0" fontId="27" fillId="0" borderId="31" xfId="69" applyFont="1" applyFill="1" applyBorder="1" applyAlignment="1" applyProtection="1">
      <alignment vertical="center"/>
    </xf>
    <xf numFmtId="0" fontId="51" fillId="37" borderId="29" xfId="1" applyFont="1" applyFill="1" applyBorder="1" applyAlignment="1" applyProtection="1">
      <alignment vertical="center"/>
    </xf>
    <xf numFmtId="0" fontId="53" fillId="39" borderId="33" xfId="69" applyFont="1" applyFill="1" applyBorder="1" applyAlignment="1" applyProtection="1">
      <alignment vertical="center"/>
    </xf>
    <xf numFmtId="0" fontId="53" fillId="39" borderId="27" xfId="69" applyFont="1" applyFill="1" applyBorder="1" applyAlignment="1" applyProtection="1">
      <alignment vertical="center"/>
    </xf>
    <xf numFmtId="0" fontId="28" fillId="0" borderId="0" xfId="1" applyFont="1" applyProtection="1">
      <protection locked="0"/>
    </xf>
    <xf numFmtId="0" fontId="33" fillId="0" borderId="0" xfId="1" applyFont="1" applyFill="1" applyAlignment="1" applyProtection="1">
      <alignment horizontal="center" vertical="center"/>
      <protection locked="0"/>
    </xf>
    <xf numFmtId="0" fontId="59" fillId="0" borderId="0" xfId="71" applyProtection="1">
      <protection locked="0"/>
    </xf>
    <xf numFmtId="0" fontId="31" fillId="0" borderId="0" xfId="1" applyFont="1" applyAlignment="1" applyProtection="1">
      <alignment horizontal="left" vertical="center"/>
      <protection locked="0"/>
    </xf>
    <xf numFmtId="0" fontId="30" fillId="0" borderId="0" xfId="1" applyFont="1" applyProtection="1">
      <protection locked="0"/>
    </xf>
    <xf numFmtId="0" fontId="31" fillId="0" borderId="12" xfId="1" applyFont="1" applyBorder="1" applyAlignment="1" applyProtection="1">
      <alignment horizontal="center"/>
      <protection locked="0"/>
    </xf>
    <xf numFmtId="1" fontId="34" fillId="0" borderId="0" xfId="1" applyNumberFormat="1" applyFont="1" applyBorder="1" applyAlignment="1" applyProtection="1">
      <alignment horizontal="center"/>
      <protection locked="0"/>
    </xf>
    <xf numFmtId="0" fontId="31" fillId="0" borderId="0" xfId="1" applyFont="1" applyProtection="1">
      <protection locked="0"/>
    </xf>
    <xf numFmtId="0" fontId="31" fillId="0" borderId="0" xfId="1" applyFont="1" applyFill="1" applyProtection="1">
      <protection locked="0"/>
    </xf>
    <xf numFmtId="0" fontId="32" fillId="0" borderId="0" xfId="1" applyFont="1" applyAlignment="1" applyProtection="1">
      <alignment horizontal="left"/>
      <protection locked="0"/>
    </xf>
    <xf numFmtId="0" fontId="30" fillId="0" borderId="0" xfId="1" applyFont="1" applyAlignment="1" applyProtection="1">
      <alignment horizontal="right" vertical="top"/>
      <protection locked="0"/>
    </xf>
    <xf numFmtId="0" fontId="31" fillId="0" borderId="11" xfId="1" applyFont="1" applyBorder="1" applyProtection="1">
      <protection locked="0"/>
    </xf>
    <xf numFmtId="0" fontId="31" fillId="0" borderId="12" xfId="1" applyFont="1" applyBorder="1" applyAlignment="1" applyProtection="1">
      <alignment horizontal="right" vertical="center"/>
      <protection locked="0"/>
    </xf>
    <xf numFmtId="0" fontId="31" fillId="0" borderId="13" xfId="1" applyFont="1" applyBorder="1" applyAlignment="1" applyProtection="1">
      <alignment horizontal="left"/>
      <protection locked="0"/>
    </xf>
    <xf numFmtId="0" fontId="30" fillId="0" borderId="0" xfId="1" applyFont="1" applyFill="1" applyBorder="1" applyAlignment="1" applyProtection="1">
      <alignment horizontal="center" vertical="center"/>
      <protection locked="0"/>
    </xf>
    <xf numFmtId="0" fontId="30" fillId="0" borderId="0" xfId="1" applyFont="1" applyBorder="1" applyAlignment="1" applyProtection="1">
      <alignment vertical="center"/>
      <protection locked="0"/>
    </xf>
    <xf numFmtId="0" fontId="31" fillId="0" borderId="0" xfId="1" applyFont="1" applyBorder="1" applyAlignment="1" applyProtection="1">
      <alignment horizontal="left" vertical="center"/>
      <protection locked="0"/>
    </xf>
    <xf numFmtId="0" fontId="31" fillId="0" borderId="0" xfId="1" applyFont="1" applyBorder="1" applyAlignment="1" applyProtection="1">
      <alignment horizontal="right" vertical="center"/>
      <protection locked="0"/>
    </xf>
    <xf numFmtId="0" fontId="31" fillId="0" borderId="0" xfId="1" applyFont="1" applyBorder="1" applyAlignment="1" applyProtection="1">
      <alignment horizontal="left"/>
      <protection locked="0"/>
    </xf>
    <xf numFmtId="1" fontId="31" fillId="0" borderId="0" xfId="1" applyNumberFormat="1" applyFont="1" applyBorder="1" applyAlignment="1" applyProtection="1">
      <alignment horizontal="center" vertical="center"/>
      <protection locked="0"/>
    </xf>
    <xf numFmtId="0" fontId="31" fillId="0" borderId="0" xfId="1" applyFont="1" applyBorder="1" applyAlignment="1" applyProtection="1">
      <alignment horizontal="center" vertical="center"/>
      <protection locked="0"/>
    </xf>
    <xf numFmtId="0" fontId="31" fillId="0" borderId="0" xfId="1" applyFont="1" applyFill="1" applyBorder="1" applyAlignment="1" applyProtection="1">
      <alignment horizontal="center" vertical="center"/>
      <protection locked="0"/>
    </xf>
    <xf numFmtId="0" fontId="28" fillId="0" borderId="0" xfId="1" applyFont="1" applyBorder="1" applyProtection="1">
      <protection locked="0"/>
    </xf>
    <xf numFmtId="0" fontId="31" fillId="0" borderId="0" xfId="1" applyFont="1" applyAlignment="1" applyProtection="1">
      <alignment horizontal="left"/>
      <protection locked="0"/>
    </xf>
    <xf numFmtId="0" fontId="31" fillId="0" borderId="15" xfId="1" applyFont="1" applyBorder="1" applyAlignment="1" applyProtection="1">
      <alignment horizontal="left" vertical="center"/>
      <protection locked="0"/>
    </xf>
    <xf numFmtId="0" fontId="31" fillId="0" borderId="14" xfId="1" applyFont="1" applyBorder="1" applyAlignment="1" applyProtection="1">
      <alignment horizontal="left"/>
      <protection locked="0"/>
    </xf>
    <xf numFmtId="0" fontId="28" fillId="38" borderId="0" xfId="1" applyFont="1" applyFill="1" applyProtection="1">
      <protection locked="0"/>
    </xf>
    <xf numFmtId="0" fontId="30" fillId="0" borderId="0" xfId="1" applyFont="1" applyAlignment="1" applyProtection="1">
      <alignment vertical="center"/>
      <protection locked="0"/>
    </xf>
    <xf numFmtId="0" fontId="31" fillId="0" borderId="0" xfId="1" applyFont="1" applyAlignment="1" applyProtection="1">
      <alignment vertical="center"/>
      <protection locked="0"/>
    </xf>
    <xf numFmtId="1" fontId="31" fillId="0" borderId="0" xfId="1" applyNumberFormat="1" applyFont="1" applyAlignment="1" applyProtection="1">
      <alignment horizontal="center" vertical="center"/>
      <protection locked="0"/>
    </xf>
    <xf numFmtId="0" fontId="30" fillId="0" borderId="0" xfId="1" applyFont="1" applyAlignment="1" applyProtection="1">
      <alignment horizontal="center" vertical="center"/>
      <protection locked="0"/>
    </xf>
    <xf numFmtId="0" fontId="31" fillId="0" borderId="0" xfId="1" applyFont="1" applyAlignment="1" applyProtection="1">
      <alignment horizontal="center" vertical="center"/>
      <protection locked="0"/>
    </xf>
    <xf numFmtId="0" fontId="31" fillId="0" borderId="0" xfId="1" applyFont="1" applyFill="1" applyAlignment="1" applyProtection="1">
      <alignment horizontal="center" vertical="center"/>
      <protection locked="0"/>
    </xf>
    <xf numFmtId="0" fontId="31" fillId="0" borderId="0" xfId="1" applyFont="1" applyAlignment="1" applyProtection="1">
      <protection locked="0"/>
    </xf>
    <xf numFmtId="0" fontId="36" fillId="0" borderId="0" xfId="1" applyFont="1" applyAlignment="1" applyProtection="1">
      <alignment vertical="center"/>
      <protection locked="0"/>
    </xf>
    <xf numFmtId="0" fontId="31" fillId="0" borderId="0" xfId="1" applyFont="1" applyBorder="1" applyAlignment="1" applyProtection="1">
      <protection locked="0"/>
    </xf>
    <xf numFmtId="0" fontId="30" fillId="0" borderId="0" xfId="1" applyFont="1" applyBorder="1" applyAlignment="1" applyProtection="1">
      <alignment horizontal="center" vertical="center"/>
      <protection locked="0"/>
    </xf>
    <xf numFmtId="0" fontId="39" fillId="0" borderId="0" xfId="1" applyFont="1" applyFill="1" applyBorder="1" applyAlignment="1" applyProtection="1">
      <alignment horizontal="center" vertical="top"/>
      <protection locked="0"/>
    </xf>
    <xf numFmtId="0" fontId="30" fillId="0" borderId="0" xfId="1" applyFont="1" applyFill="1" applyBorder="1" applyProtection="1">
      <protection locked="0"/>
    </xf>
    <xf numFmtId="0" fontId="31" fillId="40" borderId="15" xfId="1" applyFont="1" applyFill="1" applyBorder="1" applyAlignment="1" applyProtection="1">
      <alignment horizontal="center" vertical="center"/>
      <protection locked="0"/>
    </xf>
    <xf numFmtId="0" fontId="40" fillId="0" borderId="0" xfId="1" applyFont="1" applyBorder="1" applyAlignment="1" applyProtection="1">
      <alignment horizontal="left" vertical="center"/>
      <protection locked="0"/>
    </xf>
    <xf numFmtId="168" fontId="31" fillId="0" borderId="0" xfId="1" applyNumberFormat="1" applyFont="1" applyAlignment="1" applyProtection="1">
      <alignment horizontal="right" vertical="center"/>
      <protection locked="0"/>
    </xf>
    <xf numFmtId="168" fontId="31" fillId="0" borderId="0" xfId="1" applyNumberFormat="1" applyFont="1" applyFill="1" applyAlignment="1" applyProtection="1">
      <alignment horizontal="right" vertical="center"/>
      <protection locked="0"/>
    </xf>
    <xf numFmtId="168" fontId="52" fillId="0" borderId="0" xfId="1" applyNumberFormat="1" applyFont="1" applyFill="1" applyBorder="1" applyAlignment="1" applyProtection="1">
      <alignment vertical="center"/>
      <protection locked="0"/>
    </xf>
    <xf numFmtId="0" fontId="44" fillId="40" borderId="12" xfId="1" applyFont="1" applyFill="1" applyBorder="1" applyProtection="1">
      <protection locked="0"/>
    </xf>
    <xf numFmtId="0" fontId="46" fillId="0" borderId="0" xfId="1" applyFont="1" applyFill="1" applyBorder="1" applyAlignment="1" applyProtection="1">
      <alignment horizontal="center" vertical="center"/>
      <protection locked="0"/>
    </xf>
    <xf numFmtId="168" fontId="52" fillId="0" borderId="26" xfId="1" applyNumberFormat="1" applyFont="1" applyFill="1" applyBorder="1" applyAlignment="1" applyProtection="1">
      <alignment vertical="center"/>
      <protection locked="0"/>
    </xf>
    <xf numFmtId="0" fontId="28" fillId="38" borderId="0" xfId="1" applyFont="1" applyFill="1" applyBorder="1" applyProtection="1">
      <protection locked="0"/>
    </xf>
    <xf numFmtId="0" fontId="46" fillId="0" borderId="0" xfId="1" applyFont="1" applyFill="1" applyBorder="1" applyAlignment="1" applyProtection="1">
      <alignment horizontal="center" vertical="center" wrapText="1"/>
      <protection locked="0"/>
    </xf>
    <xf numFmtId="168" fontId="49" fillId="0" borderId="0" xfId="1" applyNumberFormat="1" applyFont="1" applyFill="1" applyBorder="1" applyAlignment="1" applyProtection="1">
      <alignment horizontal="center" vertical="center"/>
      <protection locked="0"/>
    </xf>
    <xf numFmtId="0" fontId="46" fillId="0" borderId="10" xfId="1" applyFont="1" applyBorder="1" applyAlignment="1" applyProtection="1">
      <alignment horizontal="center" vertical="center"/>
      <protection locked="0"/>
    </xf>
    <xf numFmtId="0" fontId="46" fillId="0" borderId="0" xfId="1" applyFont="1" applyFill="1" applyBorder="1" applyAlignment="1" applyProtection="1">
      <alignment horizontal="center"/>
      <protection locked="0"/>
    </xf>
    <xf numFmtId="0" fontId="42" fillId="0" borderId="0" xfId="1" applyFont="1" applyProtection="1">
      <protection locked="0"/>
    </xf>
    <xf numFmtId="0" fontId="46" fillId="0" borderId="0" xfId="1" applyFont="1" applyProtection="1">
      <protection locked="0"/>
    </xf>
    <xf numFmtId="1" fontId="45" fillId="0" borderId="0" xfId="1" applyNumberFormat="1" applyFont="1" applyAlignment="1" applyProtection="1">
      <alignment horizontal="center"/>
      <protection locked="0"/>
    </xf>
    <xf numFmtId="0" fontId="42" fillId="0" borderId="0" xfId="1" applyFont="1" applyAlignment="1" applyProtection="1">
      <alignment horizontal="center"/>
      <protection locked="0"/>
    </xf>
    <xf numFmtId="0" fontId="46" fillId="0" borderId="0" xfId="1" applyFont="1" applyAlignment="1" applyProtection="1">
      <alignment horizontal="center"/>
      <protection locked="0"/>
    </xf>
    <xf numFmtId="0" fontId="46" fillId="0" borderId="0" xfId="1" applyFont="1" applyFill="1" applyAlignment="1" applyProtection="1">
      <alignment horizontal="center"/>
      <protection locked="0"/>
    </xf>
    <xf numFmtId="0" fontId="47" fillId="0" borderId="34" xfId="1" applyFont="1" applyBorder="1" applyAlignment="1" applyProtection="1">
      <alignment horizontal="center" vertical="center"/>
      <protection locked="0"/>
    </xf>
    <xf numFmtId="1" fontId="47" fillId="0" borderId="34" xfId="1" applyNumberFormat="1" applyFont="1" applyBorder="1" applyAlignment="1" applyProtection="1">
      <alignment horizontal="left" vertical="center"/>
      <protection locked="0"/>
    </xf>
    <xf numFmtId="0" fontId="42" fillId="0" borderId="27" xfId="1" applyFont="1" applyBorder="1" applyAlignment="1" applyProtection="1">
      <alignment horizontal="center"/>
      <protection locked="0"/>
    </xf>
    <xf numFmtId="0" fontId="43" fillId="0" borderId="12" xfId="1" applyFont="1" applyBorder="1" applyProtection="1">
      <protection locked="0"/>
    </xf>
    <xf numFmtId="0" fontId="43" fillId="0" borderId="0" xfId="1" applyFont="1" applyBorder="1" applyProtection="1">
      <protection locked="0"/>
    </xf>
    <xf numFmtId="0" fontId="47" fillId="0" borderId="12" xfId="1" applyFont="1" applyBorder="1" applyProtection="1">
      <protection locked="0"/>
    </xf>
    <xf numFmtId="1" fontId="48" fillId="0" borderId="12" xfId="1" applyNumberFormat="1" applyFont="1" applyBorder="1" applyAlignment="1" applyProtection="1">
      <alignment horizontal="center"/>
      <protection locked="0"/>
    </xf>
    <xf numFmtId="0" fontId="42" fillId="0" borderId="19" xfId="1" applyFont="1" applyBorder="1" applyAlignment="1" applyProtection="1">
      <alignment horizontal="center"/>
      <protection locked="0"/>
    </xf>
    <xf numFmtId="0" fontId="47" fillId="0" borderId="36" xfId="1" applyFont="1" applyBorder="1" applyAlignment="1" applyProtection="1">
      <alignment vertical="center"/>
      <protection locked="0"/>
    </xf>
    <xf numFmtId="0" fontId="47" fillId="0" borderId="0" xfId="1" applyFont="1" applyBorder="1" applyAlignment="1" applyProtection="1">
      <alignment vertical="center"/>
      <protection locked="0"/>
    </xf>
    <xf numFmtId="0" fontId="47" fillId="0" borderId="0" xfId="1" applyFont="1" applyBorder="1" applyProtection="1">
      <protection locked="0"/>
    </xf>
    <xf numFmtId="1" fontId="48" fillId="0" borderId="0" xfId="1" applyNumberFormat="1" applyFont="1" applyBorder="1" applyAlignment="1" applyProtection="1">
      <alignment horizontal="center"/>
      <protection locked="0"/>
    </xf>
    <xf numFmtId="17" fontId="43" fillId="0" borderId="12" xfId="1" applyNumberFormat="1" applyFont="1" applyBorder="1" applyAlignment="1" applyProtection="1">
      <alignment horizontal="left" vertical="center"/>
      <protection locked="0"/>
    </xf>
    <xf numFmtId="17" fontId="47" fillId="0" borderId="12" xfId="1" applyNumberFormat="1" applyFont="1" applyBorder="1" applyProtection="1">
      <protection locked="0"/>
    </xf>
    <xf numFmtId="0" fontId="43" fillId="0" borderId="36" xfId="1" applyFont="1" applyBorder="1" applyProtection="1">
      <protection locked="0"/>
    </xf>
    <xf numFmtId="0" fontId="43" fillId="0" borderId="23" xfId="1" applyFont="1" applyBorder="1" applyProtection="1">
      <protection locked="0"/>
    </xf>
    <xf numFmtId="0" fontId="47" fillId="0" borderId="23" xfId="1" applyFont="1" applyBorder="1" applyProtection="1">
      <protection locked="0"/>
    </xf>
    <xf numFmtId="1" fontId="48" fillId="0" borderId="17" xfId="1" applyNumberFormat="1" applyFont="1" applyBorder="1" applyAlignment="1" applyProtection="1">
      <alignment horizontal="center"/>
      <protection locked="0"/>
    </xf>
    <xf numFmtId="0" fontId="42" fillId="0" borderId="0" xfId="1" applyFont="1" applyBorder="1" applyAlignment="1" applyProtection="1">
      <alignment horizontal="center"/>
      <protection locked="0"/>
    </xf>
    <xf numFmtId="0" fontId="42" fillId="0" borderId="14" xfId="1" applyFont="1" applyBorder="1" applyProtection="1">
      <protection locked="0"/>
    </xf>
    <xf numFmtId="0" fontId="42" fillId="0" borderId="0" xfId="1" applyFont="1" applyBorder="1" applyProtection="1">
      <protection locked="0"/>
    </xf>
    <xf numFmtId="0" fontId="46" fillId="0" borderId="0" xfId="1" applyFont="1" applyBorder="1" applyProtection="1">
      <protection locked="0"/>
    </xf>
    <xf numFmtId="1" fontId="45" fillId="0" borderId="25" xfId="1" applyNumberFormat="1" applyFont="1" applyBorder="1" applyAlignment="1" applyProtection="1">
      <alignment horizontal="center"/>
      <protection locked="0"/>
    </xf>
    <xf numFmtId="0" fontId="28" fillId="0" borderId="14" xfId="1" applyFont="1" applyBorder="1" applyProtection="1">
      <protection locked="0"/>
    </xf>
    <xf numFmtId="0" fontId="29" fillId="0" borderId="0" xfId="1" applyFont="1" applyBorder="1" applyProtection="1">
      <protection locked="0"/>
    </xf>
    <xf numFmtId="1" fontId="35" fillId="0" borderId="25" xfId="1" applyNumberFormat="1" applyFont="1" applyBorder="1" applyAlignment="1" applyProtection="1">
      <alignment horizontal="center"/>
      <protection locked="0"/>
    </xf>
    <xf numFmtId="0" fontId="28" fillId="0" borderId="19" xfId="1" applyFont="1" applyBorder="1" applyAlignment="1" applyProtection="1">
      <alignment horizontal="center"/>
      <protection locked="0"/>
    </xf>
    <xf numFmtId="0" fontId="28" fillId="0" borderId="0" xfId="1" applyFont="1" applyBorder="1" applyAlignment="1" applyProtection="1">
      <alignment horizontal="center"/>
      <protection locked="0"/>
    </xf>
    <xf numFmtId="0" fontId="28" fillId="0" borderId="0" xfId="1" applyFont="1" applyAlignment="1" applyProtection="1">
      <alignment horizontal="center"/>
      <protection locked="0"/>
    </xf>
    <xf numFmtId="0" fontId="29" fillId="0" borderId="0" xfId="1" applyFont="1" applyAlignment="1" applyProtection="1">
      <alignment horizontal="center"/>
      <protection locked="0"/>
    </xf>
    <xf numFmtId="0" fontId="29" fillId="0" borderId="0" xfId="1" applyFont="1" applyFill="1" applyAlignment="1" applyProtection="1">
      <alignment horizontal="center"/>
      <protection locked="0"/>
    </xf>
    <xf numFmtId="0" fontId="28" fillId="0" borderId="45" xfId="1" applyFont="1" applyBorder="1" applyProtection="1">
      <protection locked="0"/>
    </xf>
    <xf numFmtId="0" fontId="28" fillId="0" borderId="22" xfId="1" applyFont="1" applyBorder="1" applyProtection="1">
      <protection locked="0"/>
    </xf>
    <xf numFmtId="0" fontId="29" fillId="0" borderId="22" xfId="1" applyFont="1" applyBorder="1" applyProtection="1">
      <protection locked="0"/>
    </xf>
    <xf numFmtId="1" fontId="35" fillId="0" borderId="46" xfId="1" applyNumberFormat="1" applyFont="1" applyBorder="1" applyAlignment="1" applyProtection="1">
      <alignment horizontal="center"/>
      <protection locked="0"/>
    </xf>
    <xf numFmtId="0" fontId="28" fillId="0" borderId="38" xfId="1" applyFont="1" applyBorder="1" applyProtection="1">
      <protection locked="0"/>
    </xf>
    <xf numFmtId="0" fontId="28" fillId="0" borderId="26" xfId="1" applyFont="1" applyBorder="1" applyProtection="1">
      <protection locked="0"/>
    </xf>
    <xf numFmtId="0" fontId="29" fillId="0" borderId="26" xfId="1" applyFont="1" applyBorder="1" applyProtection="1">
      <protection locked="0"/>
    </xf>
    <xf numFmtId="1" fontId="35" fillId="0" borderId="26" xfId="1" applyNumberFormat="1" applyFont="1" applyBorder="1" applyAlignment="1" applyProtection="1">
      <alignment horizontal="center"/>
      <protection locked="0"/>
    </xf>
    <xf numFmtId="0" fontId="28" fillId="0" borderId="28" xfId="1" applyFont="1" applyBorder="1" applyAlignment="1" applyProtection="1">
      <alignment horizontal="center"/>
      <protection locked="0"/>
    </xf>
    <xf numFmtId="0" fontId="29" fillId="0" borderId="0" xfId="1" applyFont="1" applyProtection="1">
      <protection locked="0"/>
    </xf>
    <xf numFmtId="1" fontId="35" fillId="0" borderId="0" xfId="1" applyNumberFormat="1" applyFont="1" applyAlignment="1" applyProtection="1">
      <alignment horizontal="center"/>
      <protection locked="0"/>
    </xf>
    <xf numFmtId="168" fontId="41" fillId="35" borderId="0" xfId="1" applyNumberFormat="1" applyFont="1" applyFill="1" applyBorder="1" applyAlignment="1" applyProtection="1">
      <alignment horizontal="right" vertical="center"/>
    </xf>
    <xf numFmtId="168" fontId="41" fillId="35" borderId="0" xfId="1" applyNumberFormat="1" applyFont="1" applyFill="1" applyAlignment="1" applyProtection="1">
      <alignment horizontal="right" vertical="center"/>
    </xf>
    <xf numFmtId="0" fontId="51" fillId="33" borderId="30" xfId="1" applyFont="1" applyFill="1" applyBorder="1" applyAlignment="1" applyProtection="1">
      <alignment vertical="center"/>
    </xf>
    <xf numFmtId="0" fontId="51" fillId="0" borderId="32" xfId="1" applyFont="1" applyBorder="1" applyAlignment="1" applyProtection="1">
      <alignment vertical="center"/>
    </xf>
    <xf numFmtId="0" fontId="54" fillId="0" borderId="35" xfId="69" applyFont="1" applyBorder="1" applyAlignment="1" applyProtection="1">
      <alignment horizontal="left" vertical="center"/>
    </xf>
    <xf numFmtId="49" fontId="54" fillId="0" borderId="41" xfId="69" applyNumberFormat="1" applyFont="1" applyBorder="1" applyAlignment="1" applyProtection="1">
      <alignment horizontal="right" vertical="center"/>
    </xf>
    <xf numFmtId="0" fontId="54" fillId="0" borderId="42" xfId="69" applyFont="1" applyBorder="1" applyAlignment="1" applyProtection="1">
      <alignment horizontal="left" vertical="center"/>
    </xf>
    <xf numFmtId="49" fontId="54" fillId="0" borderId="39" xfId="69" applyNumberFormat="1" applyFont="1" applyBorder="1" applyAlignment="1" applyProtection="1">
      <alignment horizontal="right" vertical="center"/>
    </xf>
    <xf numFmtId="0" fontId="54" fillId="0" borderId="40" xfId="69" applyFont="1" applyBorder="1" applyAlignment="1" applyProtection="1">
      <alignment horizontal="left" vertical="center"/>
    </xf>
    <xf numFmtId="49" fontId="54" fillId="0" borderId="28" xfId="69" applyNumberFormat="1" applyFont="1" applyBorder="1" applyAlignment="1" applyProtection="1">
      <alignment horizontal="right" vertical="center"/>
    </xf>
    <xf numFmtId="0" fontId="28" fillId="0" borderId="0" xfId="1" applyFont="1" applyProtection="1"/>
    <xf numFmtId="168" fontId="49" fillId="35" borderId="12" xfId="1" applyNumberFormat="1" applyFont="1" applyFill="1" applyBorder="1" applyAlignment="1" applyProtection="1">
      <alignment horizontal="center" vertical="center"/>
    </xf>
    <xf numFmtId="168" fontId="49" fillId="35" borderId="13" xfId="1" applyNumberFormat="1" applyFont="1" applyFill="1" applyBorder="1" applyAlignment="1" applyProtection="1">
      <alignment horizontal="center" vertical="center"/>
    </xf>
    <xf numFmtId="0" fontId="55" fillId="39" borderId="33" xfId="69" applyFont="1" applyFill="1" applyBorder="1" applyAlignment="1" applyProtection="1">
      <alignment vertical="center"/>
    </xf>
    <xf numFmtId="14" fontId="31" fillId="41" borderId="12" xfId="1" applyNumberFormat="1" applyFont="1" applyFill="1" applyBorder="1" applyAlignment="1" applyProtection="1">
      <alignment horizontal="center" vertical="center"/>
      <protection locked="0"/>
    </xf>
    <xf numFmtId="0" fontId="31" fillId="0" borderId="12" xfId="1" applyFont="1" applyBorder="1" applyAlignment="1">
      <alignment horizontal="right" vertical="center"/>
    </xf>
    <xf numFmtId="14" fontId="60" fillId="42" borderId="12" xfId="1" applyNumberFormat="1" applyFont="1" applyFill="1" applyBorder="1" applyAlignment="1" applyProtection="1">
      <alignment horizontal="right" vertical="center"/>
      <protection locked="0"/>
    </xf>
    <xf numFmtId="0" fontId="31" fillId="0" borderId="12" xfId="1" applyFont="1" applyBorder="1" applyAlignment="1" applyProtection="1">
      <alignment horizontal="left" vertical="center"/>
      <protection locked="0"/>
    </xf>
    <xf numFmtId="0" fontId="31" fillId="0" borderId="12" xfId="1" applyFont="1" applyBorder="1" applyAlignment="1" applyProtection="1">
      <alignment horizontal="center" vertical="center"/>
      <protection locked="0"/>
    </xf>
    <xf numFmtId="0" fontId="57" fillId="0" borderId="12" xfId="1" applyFont="1" applyBorder="1" applyAlignment="1" applyProtection="1">
      <alignment horizontal="left" vertical="center"/>
      <protection locked="0"/>
    </xf>
    <xf numFmtId="169" fontId="61" fillId="42" borderId="11" xfId="1" applyNumberFormat="1" applyFont="1" applyFill="1" applyBorder="1" applyAlignment="1" applyProtection="1">
      <alignment horizontal="center" vertical="center"/>
      <protection locked="0"/>
    </xf>
    <xf numFmtId="4" fontId="63" fillId="0" borderId="0" xfId="1" applyNumberFormat="1" applyFont="1" applyFill="1" applyBorder="1" applyAlignment="1" applyProtection="1">
      <alignment horizontal="center"/>
      <protection locked="0"/>
    </xf>
    <xf numFmtId="14" fontId="31" fillId="0" borderId="12" xfId="1" applyNumberFormat="1" applyFont="1" applyBorder="1" applyAlignment="1" applyProtection="1">
      <alignment horizontal="right" vertical="center"/>
      <protection locked="0"/>
    </xf>
    <xf numFmtId="4" fontId="46" fillId="0" borderId="0" xfId="1" applyNumberFormat="1" applyFont="1" applyFill="1" applyBorder="1" applyAlignment="1" applyProtection="1">
      <alignment horizontal="center"/>
      <protection locked="0"/>
    </xf>
    <xf numFmtId="168" fontId="46" fillId="0" borderId="0" xfId="1" applyNumberFormat="1" applyFont="1" applyFill="1" applyBorder="1" applyAlignment="1" applyProtection="1">
      <alignment horizontal="center" vertical="center"/>
      <protection locked="0"/>
    </xf>
    <xf numFmtId="0" fontId="46" fillId="0" borderId="0" xfId="1" applyFont="1" applyFill="1" applyBorder="1" applyAlignment="1" applyProtection="1">
      <alignment horizontal="left"/>
      <protection locked="0"/>
    </xf>
    <xf numFmtId="0" fontId="46" fillId="0" borderId="0" xfId="1" applyFont="1" applyFill="1" applyBorder="1" applyAlignment="1" applyProtection="1">
      <protection locked="0"/>
    </xf>
    <xf numFmtId="0" fontId="58" fillId="0" borderId="0" xfId="1" applyFont="1" applyFill="1" applyBorder="1" applyAlignment="1" applyProtection="1">
      <protection locked="0"/>
    </xf>
    <xf numFmtId="1" fontId="45" fillId="0" borderId="0" xfId="1" applyNumberFormat="1" applyFont="1" applyFill="1" applyBorder="1" applyAlignment="1" applyProtection="1">
      <alignment horizontal="center"/>
      <protection locked="0"/>
    </xf>
    <xf numFmtId="0" fontId="46" fillId="40" borderId="12" xfId="1" applyFont="1" applyFill="1" applyBorder="1" applyAlignment="1" applyProtection="1">
      <alignment horizontal="center" vertical="center"/>
      <protection locked="0"/>
    </xf>
    <xf numFmtId="168" fontId="49" fillId="35" borderId="20" xfId="1" applyNumberFormat="1" applyFont="1" applyFill="1" applyBorder="1" applyAlignment="1" applyProtection="1">
      <alignment horizontal="center" vertical="center"/>
    </xf>
    <xf numFmtId="0" fontId="46" fillId="40" borderId="20" xfId="1" applyFont="1" applyFill="1" applyBorder="1" applyAlignment="1" applyProtection="1">
      <alignment horizontal="center" vertical="center"/>
      <protection locked="0"/>
    </xf>
    <xf numFmtId="0" fontId="46" fillId="33" borderId="16" xfId="1" applyFont="1" applyFill="1" applyBorder="1" applyAlignment="1" applyProtection="1">
      <alignment horizontal="center" vertical="center" wrapText="1"/>
      <protection locked="0"/>
    </xf>
    <xf numFmtId="0" fontId="45" fillId="0" borderId="15" xfId="0" applyFont="1" applyBorder="1" applyAlignment="1" applyProtection="1">
      <alignment horizontal="center" vertical="center"/>
      <protection locked="0"/>
    </xf>
    <xf numFmtId="168" fontId="49" fillId="35" borderId="49" xfId="1" applyNumberFormat="1" applyFont="1" applyFill="1" applyBorder="1" applyAlignment="1" applyProtection="1">
      <alignment horizontal="center" vertical="center"/>
    </xf>
    <xf numFmtId="43" fontId="58" fillId="33" borderId="12" xfId="68" applyFont="1" applyFill="1" applyBorder="1" applyAlignment="1" applyProtection="1">
      <alignment vertical="center"/>
      <protection locked="0"/>
    </xf>
    <xf numFmtId="43" fontId="58" fillId="33" borderId="12" xfId="68" applyFont="1" applyFill="1" applyBorder="1" applyAlignment="1" applyProtection="1">
      <alignment vertical="center" wrapText="1"/>
      <protection locked="0"/>
    </xf>
    <xf numFmtId="49" fontId="64" fillId="35" borderId="15" xfId="1" applyNumberFormat="1" applyFont="1" applyFill="1" applyBorder="1" applyAlignment="1" applyProtection="1">
      <alignment horizontal="center" vertical="center"/>
    </xf>
    <xf numFmtId="0" fontId="46" fillId="40" borderId="15" xfId="1" applyFont="1" applyFill="1" applyBorder="1" applyAlignment="1" applyProtection="1">
      <alignment horizontal="center" vertical="center"/>
      <protection locked="0"/>
    </xf>
    <xf numFmtId="0" fontId="46" fillId="33" borderId="24" xfId="1" applyFont="1" applyFill="1" applyBorder="1" applyAlignment="1" applyProtection="1">
      <alignment horizontal="center" vertical="center" wrapText="1"/>
      <protection locked="0"/>
    </xf>
    <xf numFmtId="0" fontId="46" fillId="33" borderId="12" xfId="1" applyFont="1" applyFill="1" applyBorder="1" applyAlignment="1" applyProtection="1">
      <alignment horizontal="center" vertical="center" wrapText="1"/>
      <protection locked="0"/>
    </xf>
    <xf numFmtId="169" fontId="61" fillId="42" borderId="11" xfId="1" applyNumberFormat="1" applyFont="1" applyFill="1" applyBorder="1" applyAlignment="1" applyProtection="1">
      <alignment horizontal="center" vertical="center"/>
      <protection locked="0"/>
    </xf>
    <xf numFmtId="169" fontId="30" fillId="0" borderId="11" xfId="1" applyNumberFormat="1" applyFont="1" applyBorder="1" applyAlignment="1" applyProtection="1">
      <alignment horizontal="center" vertical="center"/>
      <protection locked="0"/>
    </xf>
    <xf numFmtId="169" fontId="30" fillId="0" borderId="16" xfId="1" applyNumberFormat="1" applyFont="1" applyBorder="1" applyAlignment="1" applyProtection="1">
      <alignment horizontal="center" vertical="center"/>
      <protection locked="0"/>
    </xf>
    <xf numFmtId="0" fontId="0" fillId="0" borderId="0" xfId="0" applyBorder="1"/>
    <xf numFmtId="0" fontId="0" fillId="0" borderId="0" xfId="0" applyBorder="1" applyAlignment="1">
      <alignment horizontal="center" vertical="center"/>
    </xf>
    <xf numFmtId="43" fontId="0" fillId="0" borderId="0" xfId="68" applyFont="1" applyBorder="1"/>
    <xf numFmtId="0" fontId="46" fillId="33" borderId="11" xfId="1" applyFont="1" applyFill="1" applyBorder="1" applyAlignment="1" applyProtection="1">
      <alignment horizontal="center" vertical="center" wrapText="1"/>
      <protection locked="0"/>
    </xf>
    <xf numFmtId="0" fontId="31" fillId="0" borderId="23" xfId="1" applyFont="1" applyBorder="1" applyProtection="1">
      <protection locked="0"/>
    </xf>
    <xf numFmtId="168" fontId="0" fillId="0" borderId="0" xfId="0" applyNumberFormat="1"/>
    <xf numFmtId="0" fontId="30" fillId="0" borderId="0" xfId="1" applyFont="1" applyAlignment="1" applyProtection="1">
      <alignment vertical="center"/>
      <protection locked="0"/>
    </xf>
    <xf numFmtId="0" fontId="17" fillId="0" borderId="0" xfId="0" applyFont="1"/>
    <xf numFmtId="43" fontId="0" fillId="0" borderId="12" xfId="68" applyFont="1" applyBorder="1"/>
    <xf numFmtId="0" fontId="0" fillId="0" borderId="12" xfId="0" applyBorder="1" applyAlignment="1">
      <alignment horizontal="center" vertical="center"/>
    </xf>
    <xf numFmtId="0" fontId="0" fillId="0" borderId="0" xfId="0" applyAlignment="1">
      <alignment wrapText="1"/>
    </xf>
    <xf numFmtId="0" fontId="0" fillId="0" borderId="0" xfId="0"/>
    <xf numFmtId="0" fontId="0" fillId="0" borderId="0" xfId="0"/>
    <xf numFmtId="0" fontId="65" fillId="0" borderId="0" xfId="0" applyFont="1"/>
    <xf numFmtId="0" fontId="0" fillId="0" borderId="0" xfId="0" applyBorder="1" applyAlignment="1">
      <alignment horizontal="center"/>
    </xf>
    <xf numFmtId="0" fontId="0" fillId="0" borderId="12" xfId="0" applyBorder="1"/>
    <xf numFmtId="165" fontId="0" fillId="0" borderId="12" xfId="72" applyFont="1" applyBorder="1"/>
    <xf numFmtId="165" fontId="0" fillId="0" borderId="0" xfId="0" applyNumberFormat="1"/>
    <xf numFmtId="0" fontId="0" fillId="0" borderId="0" xfId="0" applyBorder="1"/>
    <xf numFmtId="165" fontId="0" fillId="0" borderId="0" xfId="72" applyFont="1" applyBorder="1"/>
    <xf numFmtId="165" fontId="0" fillId="0" borderId="55" xfId="0" applyNumberFormat="1" applyBorder="1"/>
    <xf numFmtId="0" fontId="0" fillId="36" borderId="12" xfId="0" applyFill="1" applyBorder="1" applyAlignment="1">
      <alignment horizontal="center"/>
    </xf>
    <xf numFmtId="0" fontId="0" fillId="36" borderId="0" xfId="0" applyFill="1"/>
    <xf numFmtId="0" fontId="69" fillId="40" borderId="50" xfId="0" applyFont="1" applyFill="1" applyBorder="1" applyAlignment="1">
      <alignment horizontal="center" vertical="center"/>
    </xf>
    <xf numFmtId="0" fontId="69" fillId="40" borderId="51" xfId="0" applyFont="1" applyFill="1" applyBorder="1" applyAlignment="1">
      <alignment horizontal="center" vertical="center"/>
    </xf>
    <xf numFmtId="0" fontId="69" fillId="40" borderId="51" xfId="0" applyFont="1" applyFill="1" applyBorder="1" applyAlignment="1">
      <alignment horizontal="center" vertical="center" wrapText="1"/>
    </xf>
    <xf numFmtId="0" fontId="69" fillId="40" borderId="52" xfId="0" applyFont="1" applyFill="1" applyBorder="1" applyAlignment="1">
      <alignment horizontal="center" vertical="center" wrapText="1"/>
    </xf>
    <xf numFmtId="0" fontId="0" fillId="0" borderId="0" xfId="0" applyFont="1"/>
    <xf numFmtId="0" fontId="0" fillId="0" borderId="35" xfId="0" applyBorder="1"/>
    <xf numFmtId="43" fontId="0" fillId="0" borderId="56" xfId="68" applyFont="1" applyBorder="1"/>
    <xf numFmtId="0" fontId="0" fillId="0" borderId="0" xfId="0" applyAlignment="1">
      <alignment horizontal="left"/>
    </xf>
    <xf numFmtId="0" fontId="17" fillId="0" borderId="0" xfId="0" applyFont="1" applyAlignment="1">
      <alignment horizontal="right"/>
    </xf>
    <xf numFmtId="0" fontId="0" fillId="0" borderId="0" xfId="0" applyAlignment="1">
      <alignment horizontal="center" vertical="center"/>
    </xf>
    <xf numFmtId="49" fontId="0" fillId="0" borderId="0" xfId="0" applyNumberFormat="1" applyAlignment="1">
      <alignment horizontal="center" vertical="center"/>
    </xf>
    <xf numFmtId="0" fontId="17" fillId="43" borderId="50" xfId="0" applyFont="1" applyFill="1" applyBorder="1" applyAlignment="1">
      <alignment horizontal="center" vertical="center"/>
    </xf>
    <xf numFmtId="0" fontId="17" fillId="43" borderId="51" xfId="0" applyFont="1" applyFill="1" applyBorder="1" applyAlignment="1">
      <alignment horizontal="center" vertical="center"/>
    </xf>
    <xf numFmtId="0" fontId="17" fillId="43" borderId="51" xfId="0" applyFont="1" applyFill="1" applyBorder="1" applyAlignment="1">
      <alignment horizontal="center" vertical="center" wrapText="1"/>
    </xf>
    <xf numFmtId="0" fontId="17" fillId="43" borderId="52" xfId="0" applyFont="1" applyFill="1" applyBorder="1" applyAlignment="1">
      <alignment horizontal="center" vertical="center" wrapText="1"/>
    </xf>
    <xf numFmtId="0" fontId="0" fillId="0" borderId="49" xfId="0" applyBorder="1"/>
    <xf numFmtId="43" fontId="0" fillId="0" borderId="49" xfId="68" applyFont="1" applyBorder="1"/>
    <xf numFmtId="0" fontId="0" fillId="0" borderId="49" xfId="0" applyBorder="1" applyAlignment="1">
      <alignment horizontal="center" vertical="center"/>
    </xf>
    <xf numFmtId="0" fontId="0" fillId="36" borderId="15" xfId="0" applyFill="1" applyBorder="1"/>
    <xf numFmtId="0" fontId="0" fillId="36" borderId="16" xfId="0" applyFill="1" applyBorder="1" applyAlignment="1">
      <alignment horizontal="center"/>
    </xf>
    <xf numFmtId="0" fontId="0" fillId="0" borderId="15" xfId="0" applyBorder="1"/>
    <xf numFmtId="0" fontId="0" fillId="0" borderId="16" xfId="0" applyBorder="1"/>
    <xf numFmtId="49" fontId="0" fillId="0" borderId="0" xfId="0" applyNumberFormat="1"/>
    <xf numFmtId="0" fontId="19" fillId="0" borderId="0" xfId="43"/>
    <xf numFmtId="0" fontId="1" fillId="0" borderId="24" xfId="1" applyFont="1" applyBorder="1" applyProtection="1"/>
    <xf numFmtId="3" fontId="1" fillId="0" borderId="17" xfId="1" quotePrefix="1" applyNumberFormat="1" applyFont="1" applyBorder="1" applyProtection="1"/>
    <xf numFmtId="0" fontId="57" fillId="0" borderId="14" xfId="1" applyFont="1" applyBorder="1" applyProtection="1"/>
    <xf numFmtId="3" fontId="70" fillId="0" borderId="25" xfId="1" quotePrefix="1" applyNumberFormat="1" applyFont="1" applyBorder="1" applyProtection="1"/>
    <xf numFmtId="0" fontId="70" fillId="0" borderId="14" xfId="1" applyFont="1" applyBorder="1" applyAlignment="1" applyProtection="1">
      <alignment horizontal="left" indent="1"/>
    </xf>
    <xf numFmtId="0" fontId="1" fillId="0" borderId="14" xfId="1" applyFont="1" applyBorder="1" applyProtection="1"/>
    <xf numFmtId="3" fontId="1" fillId="0" borderId="25" xfId="1" quotePrefix="1" applyNumberFormat="1" applyFont="1" applyBorder="1" applyProtection="1"/>
    <xf numFmtId="3" fontId="57" fillId="0" borderId="25" xfId="1" quotePrefix="1" applyNumberFormat="1" applyFont="1" applyBorder="1" applyProtection="1"/>
    <xf numFmtId="0" fontId="19" fillId="0" borderId="14" xfId="43" applyBorder="1"/>
    <xf numFmtId="0" fontId="1" fillId="0" borderId="45" xfId="1" applyFont="1" applyBorder="1" applyProtection="1"/>
    <xf numFmtId="3" fontId="1" fillId="0" borderId="46" xfId="1" quotePrefix="1" applyNumberFormat="1" applyFont="1" applyBorder="1" applyProtection="1"/>
    <xf numFmtId="0" fontId="57" fillId="0" borderId="15" xfId="1" applyFont="1" applyBorder="1" applyProtection="1"/>
    <xf numFmtId="3" fontId="57" fillId="0" borderId="16" xfId="1" quotePrefix="1" applyNumberFormat="1" applyFont="1" applyBorder="1" applyProtection="1"/>
    <xf numFmtId="0" fontId="70" fillId="0" borderId="14" xfId="1" applyFont="1" applyBorder="1" applyProtection="1"/>
    <xf numFmtId="0" fontId="71" fillId="0" borderId="14" xfId="1" applyFont="1" applyBorder="1" applyProtection="1"/>
    <xf numFmtId="0" fontId="57" fillId="0" borderId="57" xfId="1" applyFont="1" applyBorder="1" applyProtection="1"/>
    <xf numFmtId="3" fontId="57" fillId="0" borderId="58" xfId="1" quotePrefix="1" applyNumberFormat="1" applyFont="1" applyBorder="1" applyProtection="1"/>
    <xf numFmtId="0" fontId="71" fillId="0" borderId="0" xfId="1" applyFont="1" applyBorder="1" applyProtection="1"/>
    <xf numFmtId="3" fontId="1" fillId="0" borderId="0" xfId="1" quotePrefix="1" applyNumberFormat="1" applyFont="1" applyBorder="1" applyProtection="1"/>
    <xf numFmtId="0" fontId="70" fillId="0" borderId="24" xfId="1" applyFont="1" applyFill="1" applyBorder="1" applyAlignment="1" applyProtection="1">
      <alignment horizontal="left" indent="1"/>
    </xf>
    <xf numFmtId="0" fontId="19" fillId="0" borderId="17" xfId="43" applyBorder="1"/>
    <xf numFmtId="0" fontId="70" fillId="0" borderId="14" xfId="1" applyFont="1" applyFill="1" applyBorder="1" applyAlignment="1" applyProtection="1">
      <alignment horizontal="left" indent="1"/>
    </xf>
    <xf numFmtId="0" fontId="19" fillId="0" borderId="25" xfId="43" applyBorder="1"/>
    <xf numFmtId="0" fontId="70" fillId="0" borderId="45" xfId="1" applyFont="1" applyFill="1" applyBorder="1" applyAlignment="1" applyProtection="1">
      <alignment horizontal="left" indent="1"/>
    </xf>
    <xf numFmtId="0" fontId="19" fillId="0" borderId="46" xfId="43" applyBorder="1"/>
    <xf numFmtId="3" fontId="72" fillId="44" borderId="59" xfId="1" applyNumberFormat="1" applyFont="1" applyFill="1" applyBorder="1" applyAlignment="1" applyProtection="1">
      <alignment horizontal="center" vertical="center" wrapText="1" shrinkToFit="1"/>
    </xf>
    <xf numFmtId="3" fontId="1" fillId="0" borderId="20" xfId="1" quotePrefix="1" applyNumberFormat="1" applyFont="1" applyBorder="1" applyAlignment="1" applyProtection="1">
      <alignment horizontal="right" shrinkToFit="1"/>
    </xf>
    <xf numFmtId="3" fontId="70" fillId="0" borderId="13" xfId="1" quotePrefix="1" applyNumberFormat="1" applyFont="1" applyBorder="1" applyAlignment="1" applyProtection="1">
      <alignment horizontal="right" shrinkToFit="1"/>
    </xf>
    <xf numFmtId="170" fontId="70" fillId="45" borderId="13" xfId="47" applyNumberFormat="1" applyFont="1" applyFill="1" applyBorder="1" applyAlignment="1">
      <alignment horizontal="right" shrinkToFit="1"/>
    </xf>
    <xf numFmtId="3" fontId="1" fillId="0" borderId="13" xfId="1" quotePrefix="1" applyNumberFormat="1" applyFont="1" applyBorder="1" applyAlignment="1" applyProtection="1">
      <alignment horizontal="right" shrinkToFit="1"/>
    </xf>
    <xf numFmtId="170" fontId="57" fillId="45" borderId="13" xfId="47" applyNumberFormat="1" applyFont="1" applyFill="1" applyBorder="1" applyAlignment="1">
      <alignment horizontal="right" shrinkToFit="1"/>
    </xf>
    <xf numFmtId="170" fontId="57" fillId="45" borderId="12" xfId="47" applyNumberFormat="1" applyFont="1" applyFill="1" applyBorder="1" applyAlignment="1">
      <alignment horizontal="right" shrinkToFit="1"/>
    </xf>
    <xf numFmtId="170" fontId="57" fillId="45" borderId="60" xfId="47" applyNumberFormat="1" applyFont="1" applyFill="1" applyBorder="1" applyAlignment="1">
      <alignment horizontal="right" shrinkToFit="1"/>
    </xf>
    <xf numFmtId="3" fontId="1" fillId="0" borderId="0" xfId="1" quotePrefix="1" applyNumberFormat="1" applyFont="1" applyBorder="1" applyAlignment="1" applyProtection="1">
      <alignment horizontal="right" shrinkToFit="1"/>
    </xf>
    <xf numFmtId="0" fontId="75" fillId="46" borderId="24" xfId="1" applyFont="1" applyFill="1" applyBorder="1" applyAlignment="1" applyProtection="1">
      <alignment vertical="center"/>
    </xf>
    <xf numFmtId="171" fontId="74" fillId="46" borderId="17" xfId="78" applyNumberFormat="1" applyFont="1" applyFill="1" applyBorder="1" applyAlignment="1" applyProtection="1">
      <alignment vertical="center" shrinkToFit="1"/>
    </xf>
    <xf numFmtId="171" fontId="74" fillId="46" borderId="25" xfId="78" applyNumberFormat="1" applyFont="1" applyFill="1" applyBorder="1" applyAlignment="1" applyProtection="1">
      <alignment vertical="center" shrinkToFit="1"/>
    </xf>
    <xf numFmtId="171" fontId="74" fillId="46" borderId="46" xfId="78" applyNumberFormat="1" applyFont="1" applyFill="1" applyBorder="1" applyAlignment="1" applyProtection="1">
      <alignment vertical="center" shrinkToFit="1"/>
    </xf>
    <xf numFmtId="0" fontId="74" fillId="46" borderId="14" xfId="1" applyFont="1" applyFill="1" applyBorder="1" applyAlignment="1" applyProtection="1">
      <alignment horizontal="left" vertical="center" indent="1"/>
    </xf>
    <xf numFmtId="0" fontId="74" fillId="46" borderId="45" xfId="1" applyFont="1" applyFill="1" applyBorder="1" applyAlignment="1" applyProtection="1">
      <alignment horizontal="left" vertical="center" indent="1"/>
    </xf>
    <xf numFmtId="0" fontId="17" fillId="0" borderId="0" xfId="0" applyFont="1"/>
    <xf numFmtId="0" fontId="71" fillId="0" borderId="36" xfId="1" applyFont="1" applyBorder="1" applyProtection="1"/>
    <xf numFmtId="0" fontId="0" fillId="0" borderId="19" xfId="0" applyBorder="1"/>
    <xf numFmtId="0" fontId="66" fillId="0" borderId="36" xfId="1" applyFont="1" applyBorder="1" applyProtection="1"/>
    <xf numFmtId="0" fontId="0" fillId="0" borderId="0" xfId="0" applyBorder="1" applyAlignment="1">
      <alignment vertical="center"/>
    </xf>
    <xf numFmtId="0" fontId="1" fillId="0" borderId="66" xfId="1" applyFont="1" applyBorder="1" applyProtection="1"/>
    <xf numFmtId="3" fontId="1" fillId="0" borderId="64" xfId="1" quotePrefix="1" applyNumberFormat="1" applyFont="1" applyBorder="1" applyProtection="1"/>
    <xf numFmtId="0" fontId="73" fillId="0" borderId="0" xfId="0" applyFont="1" applyBorder="1"/>
    <xf numFmtId="3" fontId="1" fillId="0" borderId="65" xfId="1" quotePrefix="1" applyNumberFormat="1" applyFont="1" applyBorder="1" applyAlignment="1" applyProtection="1">
      <alignment horizontal="right" shrinkToFit="1"/>
    </xf>
    <xf numFmtId="0" fontId="57" fillId="0" borderId="36" xfId="1" applyFont="1" applyBorder="1" applyProtection="1"/>
    <xf numFmtId="0" fontId="70" fillId="0" borderId="36" xfId="1" applyFont="1" applyBorder="1" applyAlignment="1" applyProtection="1">
      <alignment horizontal="left" indent="1"/>
    </xf>
    <xf numFmtId="0" fontId="1" fillId="0" borderId="36" xfId="1" applyFont="1" applyBorder="1" applyProtection="1"/>
    <xf numFmtId="0" fontId="0" fillId="0" borderId="36" xfId="0" applyBorder="1"/>
    <xf numFmtId="9" fontId="57" fillId="0" borderId="25" xfId="122" quotePrefix="1" applyFont="1" applyBorder="1" applyProtection="1"/>
    <xf numFmtId="0" fontId="1" fillId="0" borderId="67" xfId="1" applyFont="1" applyBorder="1" applyProtection="1"/>
    <xf numFmtId="0" fontId="57" fillId="0" borderId="37" xfId="1" applyFont="1" applyBorder="1" applyProtection="1"/>
    <xf numFmtId="0" fontId="73" fillId="0" borderId="0" xfId="0" applyFont="1" applyBorder="1" applyProtection="1"/>
    <xf numFmtId="0" fontId="70" fillId="0" borderId="36" xfId="1" applyFont="1" applyBorder="1" applyProtection="1"/>
    <xf numFmtId="0" fontId="57" fillId="0" borderId="68" xfId="1" applyFont="1" applyBorder="1" applyProtection="1"/>
    <xf numFmtId="0" fontId="57" fillId="0" borderId="66" xfId="1" applyFont="1" applyBorder="1" applyProtection="1"/>
    <xf numFmtId="3" fontId="70" fillId="0" borderId="64" xfId="1" quotePrefix="1" applyNumberFormat="1" applyFont="1" applyBorder="1" applyProtection="1"/>
    <xf numFmtId="172" fontId="70" fillId="0" borderId="63" xfId="1" quotePrefix="1" applyNumberFormat="1" applyFont="1" applyFill="1" applyBorder="1" applyAlignment="1" applyProtection="1">
      <alignment horizontal="right" shrinkToFit="1"/>
    </xf>
    <xf numFmtId="172" fontId="70" fillId="0" borderId="65" xfId="1" quotePrefix="1" applyNumberFormat="1" applyFont="1" applyFill="1" applyBorder="1" applyAlignment="1" applyProtection="1">
      <alignment horizontal="right" shrinkToFit="1"/>
    </xf>
    <xf numFmtId="173" fontId="70" fillId="0" borderId="14" xfId="73" quotePrefix="1" applyNumberFormat="1" applyFont="1" applyFill="1" applyBorder="1" applyAlignment="1" applyProtection="1">
      <alignment shrinkToFit="1"/>
    </xf>
    <xf numFmtId="173" fontId="70" fillId="0" borderId="13" xfId="73" quotePrefix="1" applyNumberFormat="1" applyFont="1" applyFill="1" applyBorder="1" applyAlignment="1" applyProtection="1">
      <alignment shrinkToFit="1"/>
    </xf>
    <xf numFmtId="171" fontId="70" fillId="0" borderId="14" xfId="78" applyNumberFormat="1" applyFont="1" applyFill="1" applyBorder="1" applyAlignment="1" applyProtection="1">
      <alignment shrinkToFit="1"/>
    </xf>
    <xf numFmtId="171" fontId="70" fillId="0" borderId="13" xfId="78" applyNumberFormat="1" applyFont="1" applyFill="1" applyBorder="1" applyAlignment="1" applyProtection="1">
      <alignment shrinkToFit="1"/>
    </xf>
    <xf numFmtId="165" fontId="70" fillId="0" borderId="14" xfId="77" quotePrefix="1" applyFont="1" applyFill="1" applyBorder="1" applyAlignment="1" applyProtection="1">
      <alignment shrinkToFit="1"/>
    </xf>
    <xf numFmtId="165" fontId="70" fillId="0" borderId="13" xfId="77" quotePrefix="1" applyFont="1" applyFill="1" applyBorder="1" applyAlignment="1" applyProtection="1">
      <alignment shrinkToFit="1"/>
    </xf>
    <xf numFmtId="3" fontId="1" fillId="0" borderId="45" xfId="1" quotePrefix="1" applyNumberFormat="1" applyFont="1" applyFill="1" applyBorder="1" applyAlignment="1" applyProtection="1">
      <alignment horizontal="right" shrinkToFit="1"/>
    </xf>
    <xf numFmtId="3" fontId="1" fillId="0" borderId="49" xfId="1" quotePrefix="1" applyNumberFormat="1" applyFont="1" applyFill="1" applyBorder="1" applyAlignment="1" applyProtection="1">
      <alignment horizontal="right" shrinkToFit="1"/>
    </xf>
    <xf numFmtId="3" fontId="73" fillId="0" borderId="0" xfId="0" applyNumberFormat="1" applyFont="1" applyBorder="1"/>
    <xf numFmtId="0" fontId="76" fillId="0" borderId="66" xfId="0" applyFont="1" applyBorder="1" applyAlignment="1">
      <alignment vertical="top"/>
    </xf>
    <xf numFmtId="0" fontId="76" fillId="0" borderId="23" xfId="0" applyFont="1" applyBorder="1" applyAlignment="1">
      <alignment vertical="top"/>
    </xf>
    <xf numFmtId="0" fontId="76" fillId="0" borderId="64" xfId="0" applyFont="1" applyBorder="1" applyAlignment="1">
      <alignment vertical="top"/>
    </xf>
    <xf numFmtId="0" fontId="76" fillId="0" borderId="63" xfId="0" applyFont="1" applyBorder="1" applyAlignment="1">
      <alignment vertical="top"/>
    </xf>
    <xf numFmtId="0" fontId="76" fillId="0" borderId="36" xfId="0" applyFont="1" applyBorder="1" applyAlignment="1" applyProtection="1">
      <alignment vertical="top" wrapText="1"/>
      <protection locked="0"/>
    </xf>
    <xf numFmtId="0" fontId="76" fillId="0" borderId="0" xfId="0" applyFont="1" applyBorder="1" applyAlignment="1" applyProtection="1">
      <alignment vertical="top" wrapText="1"/>
      <protection locked="0"/>
    </xf>
    <xf numFmtId="0" fontId="76" fillId="0" borderId="25" xfId="0" applyFont="1" applyBorder="1" applyAlignment="1" applyProtection="1">
      <alignment vertical="top" wrapText="1"/>
      <protection locked="0"/>
    </xf>
    <xf numFmtId="0" fontId="76" fillId="0" borderId="26" xfId="0" applyFont="1" applyBorder="1" applyAlignment="1" applyProtection="1">
      <alignment vertical="top" wrapText="1"/>
      <protection locked="0"/>
    </xf>
    <xf numFmtId="0" fontId="76" fillId="0" borderId="54" xfId="0" applyFont="1" applyBorder="1" applyAlignment="1" applyProtection="1">
      <alignment vertical="top" wrapText="1"/>
      <protection locked="0"/>
    </xf>
    <xf numFmtId="0" fontId="0" fillId="0" borderId="28" xfId="0" applyBorder="1"/>
    <xf numFmtId="165" fontId="70" fillId="0" borderId="13" xfId="77" quotePrefix="1" applyNumberFormat="1" applyFont="1" applyFill="1" applyBorder="1" applyAlignment="1" applyProtection="1">
      <alignment shrinkToFit="1"/>
    </xf>
    <xf numFmtId="0" fontId="18" fillId="0" borderId="0" xfId="0" applyFont="1"/>
    <xf numFmtId="3" fontId="0" fillId="0" borderId="0" xfId="0" applyNumberFormat="1"/>
    <xf numFmtId="10" fontId="0" fillId="0" borderId="0" xfId="0" applyNumberFormat="1"/>
    <xf numFmtId="3" fontId="72" fillId="44" borderId="15" xfId="1" applyNumberFormat="1" applyFont="1" applyFill="1" applyBorder="1" applyAlignment="1" applyProtection="1">
      <alignment horizontal="center" vertical="center" wrapText="1" shrinkToFit="1"/>
    </xf>
    <xf numFmtId="3" fontId="72" fillId="44" borderId="12" xfId="1" applyNumberFormat="1" applyFont="1" applyFill="1" applyBorder="1" applyAlignment="1" applyProtection="1">
      <alignment horizontal="center" vertical="center" wrapText="1" shrinkToFit="1"/>
    </xf>
    <xf numFmtId="3" fontId="72" fillId="44" borderId="15" xfId="1" applyNumberFormat="1" applyFont="1" applyFill="1" applyBorder="1" applyAlignment="1" applyProtection="1">
      <alignment vertical="center" wrapText="1" shrinkToFit="1"/>
    </xf>
    <xf numFmtId="0" fontId="0" fillId="0" borderId="15" xfId="0" applyBorder="1" applyAlignment="1"/>
    <xf numFmtId="171" fontId="70" fillId="46" borderId="20" xfId="78" applyNumberFormat="1" applyFont="1" applyFill="1" applyBorder="1" applyAlignment="1" applyProtection="1">
      <alignment vertical="center" shrinkToFit="1"/>
    </xf>
    <xf numFmtId="165" fontId="70" fillId="46" borderId="13" xfId="77" quotePrefix="1" applyNumberFormat="1" applyFont="1" applyFill="1" applyBorder="1" applyAlignment="1" applyProtection="1">
      <alignment vertical="center" shrinkToFit="1"/>
    </xf>
    <xf numFmtId="171" fontId="70" fillId="46" borderId="13" xfId="78" applyNumberFormat="1" applyFont="1" applyFill="1" applyBorder="1" applyAlignment="1" applyProtection="1">
      <alignment vertical="center" shrinkToFit="1"/>
    </xf>
    <xf numFmtId="165" fontId="70" fillId="46" borderId="49" xfId="77" quotePrefix="1" applyNumberFormat="1" applyFont="1" applyFill="1" applyBorder="1" applyAlignment="1" applyProtection="1">
      <alignment vertical="center" shrinkToFit="1"/>
    </xf>
    <xf numFmtId="171" fontId="70" fillId="0" borderId="65" xfId="78" applyNumberFormat="1" applyFont="1" applyFill="1" applyBorder="1" applyAlignment="1" applyProtection="1">
      <alignment vertical="center" shrinkToFit="1"/>
    </xf>
    <xf numFmtId="3" fontId="77" fillId="0" borderId="0" xfId="43" applyNumberFormat="1" applyFont="1"/>
    <xf numFmtId="165" fontId="78" fillId="0" borderId="13" xfId="43" applyNumberFormat="1" applyFont="1" applyBorder="1"/>
    <xf numFmtId="165" fontId="78" fillId="0" borderId="49" xfId="43" applyNumberFormat="1" applyFont="1" applyBorder="1"/>
    <xf numFmtId="171" fontId="78" fillId="0" borderId="20" xfId="77" applyNumberFormat="1" applyFont="1" applyBorder="1"/>
    <xf numFmtId="0" fontId="0" fillId="0" borderId="0" xfId="88" applyFont="1" applyFill="1"/>
    <xf numFmtId="0" fontId="19" fillId="0" borderId="0" xfId="56" applyBorder="1"/>
    <xf numFmtId="0" fontId="0" fillId="0" borderId="0" xfId="88" applyFont="1"/>
    <xf numFmtId="0" fontId="2" fillId="0" borderId="0" xfId="88"/>
    <xf numFmtId="0" fontId="2" fillId="0" borderId="0" xfId="88" applyBorder="1"/>
    <xf numFmtId="170" fontId="2" fillId="0" borderId="0" xfId="88" applyNumberFormat="1"/>
    <xf numFmtId="0" fontId="17" fillId="47" borderId="12" xfId="0" applyFont="1" applyFill="1" applyBorder="1"/>
    <xf numFmtId="174" fontId="37" fillId="48" borderId="69" xfId="0" applyNumberFormat="1" applyFont="1" applyFill="1" applyBorder="1" applyAlignment="1" applyProtection="1">
      <alignment horizontal="center" vertical="center"/>
    </xf>
    <xf numFmtId="0" fontId="37" fillId="48" borderId="69" xfId="0" applyFont="1" applyFill="1" applyBorder="1" applyAlignment="1" applyProtection="1">
      <alignment horizontal="center" vertical="center"/>
    </xf>
    <xf numFmtId="0" fontId="81" fillId="49" borderId="69" xfId="128" applyFont="1" applyFill="1" applyBorder="1" applyAlignment="1">
      <alignment horizontal="center"/>
    </xf>
    <xf numFmtId="0" fontId="80" fillId="49" borderId="69" xfId="128" applyFont="1" applyFill="1" applyBorder="1" applyAlignment="1">
      <alignment horizontal="center"/>
    </xf>
    <xf numFmtId="0" fontId="1" fillId="0" borderId="0" xfId="1"/>
    <xf numFmtId="0" fontId="24" fillId="0" borderId="0" xfId="1" applyFont="1" applyBorder="1" applyAlignment="1">
      <alignment horizontal="left" vertical="center"/>
    </xf>
    <xf numFmtId="0" fontId="24" fillId="0" borderId="0" xfId="1" applyFont="1" applyBorder="1" applyAlignment="1">
      <alignment horizontal="left"/>
    </xf>
    <xf numFmtId="0" fontId="1" fillId="0" borderId="0" xfId="1" applyBorder="1"/>
    <xf numFmtId="0" fontId="24" fillId="45" borderId="10" xfId="1" applyFont="1" applyFill="1" applyBorder="1" applyAlignment="1"/>
    <xf numFmtId="0" fontId="1" fillId="45" borderId="0" xfId="1" applyFill="1" applyBorder="1"/>
    <xf numFmtId="0" fontId="24" fillId="45" borderId="72" xfId="1" applyFont="1" applyFill="1" applyBorder="1" applyAlignment="1"/>
    <xf numFmtId="0" fontId="1" fillId="45" borderId="0" xfId="1" applyFill="1"/>
    <xf numFmtId="0" fontId="24" fillId="45" borderId="0" xfId="1" applyFont="1" applyFill="1" applyBorder="1" applyAlignment="1"/>
    <xf numFmtId="15" fontId="87" fillId="0" borderId="0" xfId="1" applyNumberFormat="1" applyFont="1" applyBorder="1"/>
    <xf numFmtId="0" fontId="71" fillId="54" borderId="74" xfId="1" applyFont="1" applyFill="1" applyBorder="1" applyAlignment="1">
      <alignment horizontal="center"/>
    </xf>
    <xf numFmtId="49" fontId="71" fillId="54" borderId="75" xfId="1" applyNumberFormat="1" applyFont="1" applyFill="1" applyBorder="1" applyAlignment="1">
      <alignment horizontal="center"/>
    </xf>
    <xf numFmtId="0" fontId="24" fillId="45" borderId="18" xfId="1" applyFont="1" applyFill="1" applyBorder="1" applyAlignment="1"/>
    <xf numFmtId="49" fontId="1" fillId="0" borderId="0" xfId="1" applyNumberFormat="1" applyBorder="1"/>
    <xf numFmtId="0" fontId="71" fillId="54" borderId="75" xfId="1" applyFont="1" applyFill="1" applyBorder="1" applyAlignment="1">
      <alignment horizontal="center"/>
    </xf>
    <xf numFmtId="0" fontId="71" fillId="54" borderId="77" xfId="1" applyFont="1" applyFill="1" applyBorder="1" applyAlignment="1">
      <alignment horizontal="center"/>
    </xf>
    <xf numFmtId="0" fontId="84" fillId="45" borderId="0" xfId="1" applyFont="1" applyFill="1" applyBorder="1" applyAlignment="1">
      <alignment horizontal="left"/>
    </xf>
    <xf numFmtId="0" fontId="84" fillId="45" borderId="0" xfId="1" applyFont="1" applyFill="1" applyBorder="1" applyAlignment="1">
      <alignment horizontal="center"/>
    </xf>
    <xf numFmtId="0" fontId="90" fillId="57" borderId="10" xfId="1" applyFont="1" applyFill="1" applyBorder="1" applyAlignment="1">
      <alignment horizontal="center" vertical="center"/>
    </xf>
    <xf numFmtId="0" fontId="91" fillId="57" borderId="21" xfId="1" applyFont="1" applyFill="1" applyBorder="1" applyAlignment="1">
      <alignment horizontal="center" vertical="center" wrapText="1"/>
    </xf>
    <xf numFmtId="0" fontId="91" fillId="57" borderId="10" xfId="1" applyFont="1" applyFill="1" applyBorder="1" applyAlignment="1">
      <alignment horizontal="center" vertical="center" wrapText="1"/>
    </xf>
    <xf numFmtId="0" fontId="91" fillId="57" borderId="34" xfId="1" applyFont="1" applyFill="1" applyBorder="1" applyAlignment="1">
      <alignment horizontal="center" vertical="center" wrapText="1"/>
    </xf>
    <xf numFmtId="0" fontId="90" fillId="57" borderId="34" xfId="1" applyFont="1" applyFill="1" applyBorder="1" applyAlignment="1">
      <alignment horizontal="center" vertical="center" wrapText="1"/>
    </xf>
    <xf numFmtId="0" fontId="90" fillId="57" borderId="0" xfId="1" applyFont="1" applyFill="1" applyBorder="1" applyAlignment="1">
      <alignment horizontal="center" vertical="center" wrapText="1"/>
    </xf>
    <xf numFmtId="0" fontId="57" fillId="34" borderId="36" xfId="1" applyFont="1" applyFill="1" applyBorder="1" applyAlignment="1">
      <alignment horizontal="center" vertical="center" wrapText="1"/>
    </xf>
    <xf numFmtId="0" fontId="57" fillId="34" borderId="19" xfId="1" applyFont="1" applyFill="1" applyBorder="1" applyAlignment="1">
      <alignment horizontal="center" vertical="center" wrapText="1"/>
    </xf>
    <xf numFmtId="0" fontId="57" fillId="34" borderId="33" xfId="1" applyFont="1" applyFill="1" applyBorder="1" applyAlignment="1">
      <alignment horizontal="center" vertical="center" wrapText="1"/>
    </xf>
    <xf numFmtId="0" fontId="57" fillId="34" borderId="78" xfId="1" applyFont="1" applyFill="1" applyBorder="1" applyAlignment="1">
      <alignment horizontal="center" vertical="center" wrapText="1"/>
    </xf>
    <xf numFmtId="0" fontId="24" fillId="34" borderId="28" xfId="1" applyFont="1" applyFill="1" applyBorder="1" applyAlignment="1">
      <alignment horizontal="center" vertical="center" shrinkToFit="1"/>
    </xf>
    <xf numFmtId="0" fontId="71" fillId="34" borderId="38" xfId="1" applyFont="1" applyFill="1" applyBorder="1" applyAlignment="1">
      <alignment horizontal="center" vertical="center"/>
    </xf>
    <xf numFmtId="0" fontId="71" fillId="34" borderId="79" xfId="1" applyFont="1" applyFill="1" applyBorder="1" applyAlignment="1">
      <alignment horizontal="center" vertical="center"/>
    </xf>
    <xf numFmtId="0" fontId="95" fillId="58" borderId="80" xfId="1" applyFont="1" applyFill="1" applyBorder="1" applyAlignment="1">
      <alignment horizontal="center" vertical="center"/>
    </xf>
    <xf numFmtId="0" fontId="95" fillId="58" borderId="13" xfId="1" applyFont="1" applyFill="1" applyBorder="1" applyAlignment="1">
      <alignment horizontal="center" vertical="center"/>
    </xf>
    <xf numFmtId="0" fontId="95" fillId="58" borderId="14" xfId="1" applyFont="1" applyFill="1" applyBorder="1" applyAlignment="1">
      <alignment horizontal="center" vertical="center"/>
    </xf>
    <xf numFmtId="0" fontId="95" fillId="58" borderId="81" xfId="1" applyFont="1" applyFill="1" applyBorder="1" applyAlignment="1">
      <alignment horizontal="center" vertical="center"/>
    </xf>
    <xf numFmtId="0" fontId="1" fillId="58" borderId="34" xfId="1" applyFill="1" applyBorder="1" applyAlignment="1">
      <alignment vertical="center"/>
    </xf>
    <xf numFmtId="0" fontId="1" fillId="58" borderId="27" xfId="1" applyFill="1" applyBorder="1" applyAlignment="1">
      <alignment vertical="center"/>
    </xf>
    <xf numFmtId="0" fontId="1" fillId="58" borderId="0" xfId="1" applyFill="1" applyBorder="1" applyAlignment="1">
      <alignment vertical="center"/>
    </xf>
    <xf numFmtId="0" fontId="71" fillId="58" borderId="36" xfId="1" applyFont="1" applyFill="1" applyBorder="1" applyAlignment="1">
      <alignment horizontal="center" vertical="center"/>
    </xf>
    <xf numFmtId="0" fontId="71" fillId="58" borderId="0" xfId="1" applyFont="1" applyFill="1" applyBorder="1" applyAlignment="1">
      <alignment horizontal="center" vertical="center"/>
    </xf>
    <xf numFmtId="0" fontId="1" fillId="58" borderId="82" xfId="1" applyFill="1" applyBorder="1" applyAlignment="1">
      <alignment vertical="center"/>
    </xf>
    <xf numFmtId="0" fontId="1" fillId="58" borderId="33" xfId="1" applyFill="1" applyBorder="1" applyAlignment="1">
      <alignment vertical="center"/>
    </xf>
    <xf numFmtId="0" fontId="1" fillId="0" borderId="0" xfId="1" applyAlignment="1">
      <alignment vertical="center"/>
    </xf>
    <xf numFmtId="0" fontId="1" fillId="59" borderId="33" xfId="1" applyFill="1" applyBorder="1"/>
    <xf numFmtId="0" fontId="71" fillId="59" borderId="34" xfId="1" applyFont="1" applyFill="1" applyBorder="1" applyAlignment="1">
      <alignment horizontal="left"/>
    </xf>
    <xf numFmtId="0" fontId="24" fillId="59" borderId="34" xfId="1" applyFont="1" applyFill="1" applyBorder="1" applyAlignment="1">
      <alignment horizontal="left"/>
    </xf>
    <xf numFmtId="0" fontId="24" fillId="59" borderId="27" xfId="1" applyFont="1" applyFill="1" applyBorder="1" applyAlignment="1">
      <alignment horizontal="left"/>
    </xf>
    <xf numFmtId="0" fontId="97" fillId="45" borderId="83" xfId="1" applyFont="1" applyFill="1" applyBorder="1" applyAlignment="1">
      <alignment horizontal="center"/>
    </xf>
    <xf numFmtId="0" fontId="71" fillId="45" borderId="0" xfId="1" applyFont="1" applyFill="1" applyBorder="1" applyAlignment="1">
      <alignment horizontal="left"/>
    </xf>
    <xf numFmtId="0" fontId="1" fillId="45" borderId="36" xfId="1" applyFill="1" applyBorder="1"/>
    <xf numFmtId="49" fontId="71" fillId="45" borderId="0" xfId="1" applyNumberFormat="1" applyFont="1" applyFill="1" applyBorder="1"/>
    <xf numFmtId="0" fontId="87" fillId="45" borderId="0" xfId="1" applyFont="1" applyFill="1" applyBorder="1" applyAlignment="1">
      <alignment horizontal="center"/>
    </xf>
    <xf numFmtId="0" fontId="1" fillId="0" borderId="19" xfId="1" applyBorder="1"/>
    <xf numFmtId="49" fontId="71" fillId="45" borderId="22" xfId="1" applyNumberFormat="1" applyFont="1" applyFill="1" applyBorder="1"/>
    <xf numFmtId="0" fontId="30" fillId="45" borderId="36" xfId="1" applyFont="1" applyFill="1" applyBorder="1"/>
    <xf numFmtId="0" fontId="97" fillId="45" borderId="96" xfId="1" applyFont="1" applyFill="1" applyBorder="1" applyAlignment="1">
      <alignment horizontal="center"/>
    </xf>
    <xf numFmtId="49" fontId="71" fillId="45" borderId="26" xfId="1" applyNumberFormat="1" applyFont="1" applyFill="1" applyBorder="1"/>
    <xf numFmtId="0" fontId="97" fillId="45" borderId="36" xfId="1" applyFont="1" applyFill="1" applyBorder="1" applyAlignment="1">
      <alignment horizontal="center"/>
    </xf>
    <xf numFmtId="0" fontId="1" fillId="45" borderId="72" xfId="1" applyFill="1" applyBorder="1"/>
    <xf numFmtId="175" fontId="1" fillId="45" borderId="72" xfId="1" applyNumberFormat="1" applyFill="1" applyBorder="1"/>
    <xf numFmtId="0" fontId="98" fillId="0" borderId="0" xfId="1" applyFont="1" applyBorder="1"/>
    <xf numFmtId="0" fontId="1" fillId="0" borderId="0" xfId="1" applyFont="1"/>
    <xf numFmtId="0" fontId="1" fillId="33" borderId="0" xfId="1" applyFont="1" applyFill="1"/>
    <xf numFmtId="0" fontId="99" fillId="33" borderId="0" xfId="1" applyFont="1" applyFill="1" applyAlignment="1">
      <alignment horizontal="center" vertical="center" wrapText="1"/>
    </xf>
    <xf numFmtId="0" fontId="100" fillId="33" borderId="0" xfId="1" applyFont="1" applyFill="1" applyAlignment="1">
      <alignment horizontal="center" vertical="center" wrapText="1"/>
    </xf>
    <xf numFmtId="0" fontId="31" fillId="33" borderId="72" xfId="1" applyFont="1" applyFill="1" applyBorder="1" applyAlignment="1">
      <alignment vertical="center" wrapText="1"/>
    </xf>
    <xf numFmtId="0" fontId="31" fillId="33" borderId="0" xfId="1" applyFont="1" applyFill="1" applyBorder="1" applyAlignment="1">
      <alignment vertical="center" wrapText="1"/>
    </xf>
    <xf numFmtId="0" fontId="101" fillId="33" borderId="0" xfId="1" applyFont="1" applyFill="1" applyAlignment="1">
      <alignment horizontal="center" vertical="center" wrapText="1"/>
    </xf>
    <xf numFmtId="0" fontId="101" fillId="33" borderId="33" xfId="1" applyFont="1" applyFill="1" applyBorder="1" applyAlignment="1">
      <alignment vertical="top"/>
    </xf>
    <xf numFmtId="0" fontId="101" fillId="33" borderId="34" xfId="1" applyFont="1" applyFill="1" applyBorder="1" applyAlignment="1">
      <alignment vertical="top" wrapText="1"/>
    </xf>
    <xf numFmtId="0" fontId="101" fillId="33" borderId="27" xfId="1" applyFont="1" applyFill="1" applyBorder="1" applyAlignment="1">
      <alignment vertical="top" wrapText="1"/>
    </xf>
    <xf numFmtId="0" fontId="30" fillId="33" borderId="0" xfId="1" applyFont="1" applyFill="1" applyBorder="1" applyAlignment="1">
      <alignment vertical="center" wrapText="1"/>
    </xf>
    <xf numFmtId="0" fontId="30" fillId="33" borderId="0" xfId="1" applyFont="1" applyFill="1" applyBorder="1" applyAlignment="1">
      <alignment horizontal="center" vertical="center" wrapText="1"/>
    </xf>
    <xf numFmtId="0" fontId="101" fillId="33" borderId="0" xfId="1" applyFont="1" applyFill="1" applyBorder="1" applyAlignment="1">
      <alignment horizontal="center" vertical="center" wrapText="1"/>
    </xf>
    <xf numFmtId="0" fontId="31" fillId="33" borderId="21" xfId="1" applyFont="1" applyFill="1" applyBorder="1" applyAlignment="1">
      <alignment horizontal="center" vertical="center" wrapText="1"/>
    </xf>
    <xf numFmtId="0" fontId="1" fillId="33" borderId="0" xfId="1" applyFont="1" applyFill="1" applyBorder="1"/>
    <xf numFmtId="0" fontId="31" fillId="33" borderId="21" xfId="1" applyFont="1" applyFill="1" applyBorder="1" applyAlignment="1">
      <alignment horizontal="left" vertical="center" wrapText="1"/>
    </xf>
    <xf numFmtId="0" fontId="102" fillId="33" borderId="0" xfId="1" applyFont="1" applyFill="1" applyBorder="1" applyAlignment="1">
      <alignment horizontal="center" vertical="top"/>
    </xf>
    <xf numFmtId="0" fontId="1" fillId="0" borderId="0" xfId="1" applyFont="1" applyBorder="1"/>
    <xf numFmtId="0" fontId="31" fillId="33" borderId="38" xfId="1" applyFont="1" applyFill="1" applyBorder="1" applyAlignment="1">
      <alignment horizontal="left" vertical="center" wrapText="1"/>
    </xf>
    <xf numFmtId="0" fontId="31" fillId="33" borderId="43" xfId="1" applyFont="1" applyFill="1" applyBorder="1" applyAlignment="1">
      <alignment horizontal="left" vertical="center" wrapText="1"/>
    </xf>
    <xf numFmtId="0" fontId="31" fillId="33" borderId="72" xfId="1" applyFont="1" applyFill="1" applyBorder="1" applyAlignment="1">
      <alignment horizontal="center" vertical="center" wrapText="1"/>
    </xf>
    <xf numFmtId="0" fontId="31" fillId="33" borderId="72" xfId="1" applyFont="1" applyFill="1" applyBorder="1" applyAlignment="1">
      <alignment horizontal="left" vertical="center" wrapText="1"/>
    </xf>
    <xf numFmtId="0" fontId="31" fillId="33" borderId="72" xfId="1" applyFont="1" applyFill="1" applyBorder="1" applyAlignment="1">
      <alignment horizontal="left"/>
    </xf>
    <xf numFmtId="0" fontId="1" fillId="33" borderId="0" xfId="1" applyFont="1" applyFill="1" applyBorder="1" applyAlignment="1">
      <alignment horizontal="center"/>
    </xf>
    <xf numFmtId="0" fontId="30" fillId="33" borderId="72" xfId="1" applyFont="1" applyFill="1" applyBorder="1" applyAlignment="1">
      <alignment horizontal="left" vertical="center" wrapText="1"/>
    </xf>
    <xf numFmtId="0" fontId="78" fillId="33" borderId="0" xfId="0" applyFont="1" applyFill="1" applyBorder="1" applyAlignment="1">
      <alignment horizontal="center"/>
    </xf>
    <xf numFmtId="0" fontId="60" fillId="62" borderId="72" xfId="44" applyFont="1" applyFill="1" applyBorder="1" applyAlignment="1"/>
    <xf numFmtId="0" fontId="89" fillId="45" borderId="0" xfId="1" applyFont="1" applyFill="1" applyBorder="1" applyAlignment="1"/>
    <xf numFmtId="0" fontId="89" fillId="45" borderId="72" xfId="1" applyFont="1" applyFill="1" applyBorder="1" applyAlignment="1"/>
    <xf numFmtId="0" fontId="31" fillId="36" borderId="72" xfId="1" applyFont="1" applyFill="1" applyBorder="1" applyAlignment="1"/>
    <xf numFmtId="0" fontId="105" fillId="45" borderId="72" xfId="1" applyFont="1" applyFill="1" applyBorder="1" applyAlignment="1">
      <alignment horizontal="center" vertical="center"/>
    </xf>
    <xf numFmtId="0" fontId="31" fillId="63" borderId="72" xfId="1" applyFont="1" applyFill="1" applyBorder="1" applyAlignment="1"/>
    <xf numFmtId="0" fontId="31" fillId="45" borderId="72" xfId="1" applyFont="1" applyFill="1" applyBorder="1" applyAlignment="1"/>
    <xf numFmtId="0" fontId="31" fillId="45" borderId="0" xfId="1" applyFont="1" applyFill="1" applyBorder="1" applyAlignment="1"/>
    <xf numFmtId="0" fontId="89" fillId="45" borderId="0" xfId="1" applyFont="1" applyFill="1" applyBorder="1" applyAlignment="1">
      <alignment horizontal="center"/>
    </xf>
    <xf numFmtId="0" fontId="31" fillId="0" borderId="21" xfId="1" applyFont="1" applyBorder="1" applyAlignment="1">
      <alignment horizontal="left" vertical="center"/>
    </xf>
    <xf numFmtId="0" fontId="31" fillId="33" borderId="72" xfId="1" applyFont="1" applyFill="1" applyBorder="1" applyAlignment="1">
      <alignment horizontal="center"/>
    </xf>
    <xf numFmtId="0" fontId="31" fillId="33" borderId="72" xfId="1" applyFont="1" applyFill="1" applyBorder="1" applyAlignment="1">
      <alignment horizontal="center" wrapText="1"/>
    </xf>
    <xf numFmtId="0" fontId="31" fillId="33" borderId="0" xfId="1" applyFont="1" applyFill="1" applyBorder="1" applyAlignment="1">
      <alignment horizontal="center" wrapText="1"/>
    </xf>
    <xf numFmtId="0" fontId="30" fillId="0" borderId="43" xfId="1" applyFont="1" applyBorder="1" applyAlignment="1">
      <alignment horizontal="left" vertical="center"/>
    </xf>
    <xf numFmtId="0" fontId="30" fillId="33" borderId="49" xfId="1" applyFont="1" applyFill="1" applyBorder="1" applyAlignment="1">
      <alignment horizontal="left" vertical="center"/>
    </xf>
    <xf numFmtId="0" fontId="30" fillId="33" borderId="0" xfId="1" applyFont="1" applyFill="1" applyBorder="1" applyAlignment="1">
      <alignment horizontal="center"/>
    </xf>
    <xf numFmtId="0" fontId="31" fillId="0" borderId="104" xfId="1" applyFont="1" applyBorder="1" applyAlignment="1">
      <alignment horizontal="left" vertical="center"/>
    </xf>
    <xf numFmtId="0" fontId="30" fillId="33" borderId="95" xfId="1" applyFont="1" applyFill="1" applyBorder="1" applyAlignment="1">
      <alignment horizontal="left" vertical="center"/>
    </xf>
    <xf numFmtId="0" fontId="30" fillId="33" borderId="0" xfId="1" applyFont="1" applyFill="1" applyBorder="1" applyAlignment="1">
      <alignment horizontal="left" vertical="center"/>
    </xf>
    <xf numFmtId="0" fontId="78" fillId="33" borderId="0" xfId="0" applyFont="1" applyFill="1"/>
    <xf numFmtId="0" fontId="40" fillId="45" borderId="0" xfId="1" applyFont="1" applyFill="1" applyBorder="1" applyAlignment="1">
      <alignment horizontal="left"/>
    </xf>
    <xf numFmtId="0" fontId="40" fillId="45" borderId="0" xfId="1" applyFont="1" applyFill="1" applyBorder="1" applyAlignment="1">
      <alignment horizontal="center"/>
    </xf>
    <xf numFmtId="0" fontId="30" fillId="45" borderId="0" xfId="1" applyFont="1" applyFill="1"/>
    <xf numFmtId="0" fontId="30" fillId="33" borderId="0" xfId="1" applyFont="1" applyFill="1"/>
    <xf numFmtId="0" fontId="78" fillId="0" borderId="0" xfId="0" applyFont="1"/>
    <xf numFmtId="0" fontId="108" fillId="67" borderId="34" xfId="1" applyFont="1" applyFill="1" applyBorder="1" applyAlignment="1">
      <alignment horizontal="center" vertical="center" wrapText="1"/>
    </xf>
    <xf numFmtId="0" fontId="108" fillId="67" borderId="0" xfId="1" applyFont="1" applyFill="1" applyBorder="1" applyAlignment="1">
      <alignment horizontal="center" vertical="center" wrapText="1"/>
    </xf>
    <xf numFmtId="0" fontId="108" fillId="67" borderId="26" xfId="1" applyFont="1" applyFill="1" applyBorder="1" applyAlignment="1">
      <alignment horizontal="center" vertical="center" wrapText="1"/>
    </xf>
    <xf numFmtId="0" fontId="31" fillId="69" borderId="32" xfId="1" applyFont="1" applyFill="1" applyBorder="1" applyAlignment="1">
      <alignment horizontal="center" vertical="center" wrapText="1"/>
    </xf>
    <xf numFmtId="0" fontId="31" fillId="69" borderId="77" xfId="1" applyFont="1" applyFill="1" applyBorder="1" applyAlignment="1">
      <alignment horizontal="center" vertical="center" wrapText="1"/>
    </xf>
    <xf numFmtId="0" fontId="30" fillId="58" borderId="34" xfId="1" applyFont="1" applyFill="1" applyBorder="1" applyAlignment="1">
      <alignment vertical="center"/>
    </xf>
    <xf numFmtId="0" fontId="30" fillId="58" borderId="27" xfId="1" applyFont="1" applyFill="1" applyBorder="1" applyAlignment="1">
      <alignment vertical="center"/>
    </xf>
    <xf numFmtId="0" fontId="30" fillId="58" borderId="0" xfId="1" applyFont="1" applyFill="1" applyBorder="1" applyAlignment="1">
      <alignment vertical="center"/>
    </xf>
    <xf numFmtId="0" fontId="31" fillId="58" borderId="36" xfId="1" applyFont="1" applyFill="1" applyBorder="1" applyAlignment="1">
      <alignment horizontal="center" vertical="center"/>
    </xf>
    <xf numFmtId="0" fontId="31" fillId="58" borderId="0" xfId="1" applyFont="1" applyFill="1" applyBorder="1" applyAlignment="1">
      <alignment horizontal="center" vertical="center"/>
    </xf>
    <xf numFmtId="0" fontId="30" fillId="58" borderId="33" xfId="1" applyFont="1" applyFill="1" applyBorder="1" applyAlignment="1">
      <alignment vertical="center"/>
    </xf>
    <xf numFmtId="0" fontId="1" fillId="0" borderId="0" xfId="1" applyFont="1" applyAlignment="1">
      <alignment vertical="center"/>
    </xf>
    <xf numFmtId="0" fontId="30" fillId="0" borderId="95" xfId="1" applyFont="1" applyBorder="1" applyAlignment="1">
      <alignment horizontal="left"/>
    </xf>
    <xf numFmtId="7" fontId="110" fillId="45" borderId="95" xfId="45" applyNumberFormat="1" applyFont="1" applyFill="1" applyBorder="1" applyAlignment="1">
      <alignment horizontal="left"/>
    </xf>
    <xf numFmtId="7" fontId="110" fillId="45" borderId="89" xfId="45" applyNumberFormat="1" applyFont="1" applyFill="1" applyBorder="1" applyAlignment="1">
      <alignment horizontal="left"/>
    </xf>
    <xf numFmtId="0" fontId="111" fillId="3" borderId="95" xfId="44" applyFont="1" applyBorder="1" applyAlignment="1">
      <alignment horizontal="left"/>
    </xf>
    <xf numFmtId="0" fontId="30" fillId="45" borderId="95" xfId="1" applyFont="1" applyFill="1" applyBorder="1" applyAlignment="1">
      <alignment horizontal="left"/>
    </xf>
    <xf numFmtId="0" fontId="1" fillId="0" borderId="37" xfId="1" applyFont="1" applyFill="1" applyBorder="1"/>
    <xf numFmtId="0" fontId="1" fillId="0" borderId="75" xfId="1" applyFont="1" applyFill="1" applyBorder="1"/>
    <xf numFmtId="0" fontId="1" fillId="0" borderId="84" xfId="1" applyFont="1" applyFill="1" applyBorder="1"/>
    <xf numFmtId="0" fontId="1" fillId="0" borderId="35" xfId="1" applyFont="1" applyFill="1" applyBorder="1"/>
    <xf numFmtId="0" fontId="1" fillId="0" borderId="85" xfId="1" applyFont="1" applyFill="1" applyBorder="1"/>
    <xf numFmtId="0" fontId="1" fillId="0" borderId="67" xfId="1" applyFont="1" applyFill="1" applyBorder="1"/>
    <xf numFmtId="0" fontId="1" fillId="0" borderId="56" xfId="1" applyFont="1" applyFill="1" applyBorder="1"/>
    <xf numFmtId="0" fontId="1" fillId="0" borderId="46" xfId="1" applyFont="1" applyFill="1" applyBorder="1"/>
    <xf numFmtId="0" fontId="1" fillId="0" borderId="22" xfId="1" applyFont="1" applyFill="1" applyBorder="1"/>
    <xf numFmtId="0" fontId="1" fillId="0" borderId="91" xfId="1" applyFont="1" applyFill="1" applyBorder="1"/>
    <xf numFmtId="0" fontId="1" fillId="0" borderId="89" xfId="1" applyFont="1" applyFill="1" applyBorder="1"/>
    <xf numFmtId="0" fontId="1" fillId="0" borderId="94" xfId="1" applyFont="1" applyFill="1" applyBorder="1"/>
    <xf numFmtId="0" fontId="1" fillId="0" borderId="92" xfId="1" applyFont="1" applyFill="1" applyBorder="1"/>
    <xf numFmtId="0" fontId="1" fillId="0" borderId="88" xfId="1" applyFont="1" applyFill="1" applyBorder="1"/>
    <xf numFmtId="0" fontId="1" fillId="0" borderId="98" xfId="1" applyFont="1" applyFill="1" applyBorder="1"/>
    <xf numFmtId="0" fontId="1" fillId="0" borderId="99" xfId="1" applyFont="1" applyFill="1" applyBorder="1"/>
    <xf numFmtId="0" fontId="1" fillId="0" borderId="97" xfId="1" applyFont="1" applyFill="1" applyBorder="1"/>
    <xf numFmtId="0" fontId="1" fillId="0" borderId="101" xfId="1" applyFont="1" applyFill="1" applyBorder="1"/>
    <xf numFmtId="0" fontId="1" fillId="0" borderId="102" xfId="1" applyFont="1" applyFill="1" applyBorder="1"/>
    <xf numFmtId="0" fontId="1" fillId="0" borderId="104" xfId="1" applyFont="1" applyFill="1" applyBorder="1"/>
    <xf numFmtId="0" fontId="1" fillId="0" borderId="77" xfId="1" applyFont="1" applyFill="1" applyBorder="1"/>
    <xf numFmtId="0" fontId="1" fillId="0" borderId="71" xfId="1" applyFont="1" applyFill="1" applyBorder="1"/>
    <xf numFmtId="0" fontId="1" fillId="0" borderId="76" xfId="1" applyFont="1" applyFill="1" applyBorder="1"/>
    <xf numFmtId="0" fontId="1" fillId="0" borderId="47" xfId="1" applyFont="1" applyFill="1" applyBorder="1"/>
    <xf numFmtId="0" fontId="57" fillId="34" borderId="27" xfId="1" applyFont="1" applyFill="1" applyBorder="1" applyAlignment="1">
      <alignment horizontal="center" vertical="center" wrapText="1"/>
    </xf>
    <xf numFmtId="0" fontId="57" fillId="34" borderId="28" xfId="1" applyFont="1" applyFill="1" applyBorder="1" applyAlignment="1">
      <alignment horizontal="center" vertical="center" wrapText="1"/>
    </xf>
    <xf numFmtId="0" fontId="57" fillId="34" borderId="108" xfId="1" applyFont="1" applyFill="1" applyBorder="1" applyAlignment="1">
      <alignment horizontal="center" vertical="center" wrapText="1"/>
    </xf>
    <xf numFmtId="0" fontId="71" fillId="34" borderId="40" xfId="1" applyFont="1" applyFill="1" applyBorder="1" applyAlignment="1">
      <alignment horizontal="center" vertical="center"/>
    </xf>
    <xf numFmtId="0" fontId="1" fillId="0" borderId="42" xfId="1" applyFont="1" applyFill="1" applyBorder="1"/>
    <xf numFmtId="0" fontId="92" fillId="34" borderId="27" xfId="1" applyFont="1" applyFill="1" applyBorder="1" applyAlignment="1">
      <alignment horizontal="center" vertical="center" wrapText="1"/>
    </xf>
    <xf numFmtId="0" fontId="92" fillId="34" borderId="108" xfId="1" applyFont="1" applyFill="1" applyBorder="1" applyAlignment="1">
      <alignment horizontal="center" vertical="center" wrapText="1"/>
    </xf>
    <xf numFmtId="0" fontId="94" fillId="34" borderId="40" xfId="1" applyFont="1" applyFill="1" applyBorder="1" applyAlignment="1">
      <alignment horizontal="center" vertical="center"/>
    </xf>
    <xf numFmtId="0" fontId="83" fillId="51" borderId="74" xfId="1" applyFont="1" applyFill="1" applyBorder="1" applyAlignment="1">
      <alignment horizontal="center"/>
    </xf>
    <xf numFmtId="0" fontId="24" fillId="0" borderId="75" xfId="1" applyFont="1" applyFill="1" applyBorder="1" applyAlignment="1">
      <alignment horizontal="left"/>
    </xf>
    <xf numFmtId="0" fontId="24" fillId="0" borderId="84" xfId="1" applyFont="1" applyFill="1" applyBorder="1" applyAlignment="1">
      <alignment horizontal="center"/>
    </xf>
    <xf numFmtId="0" fontId="24" fillId="0" borderId="75" xfId="1" applyFont="1" applyFill="1" applyBorder="1" applyAlignment="1">
      <alignment horizontal="center"/>
    </xf>
    <xf numFmtId="0" fontId="24" fillId="0" borderId="75" xfId="0" applyFont="1" applyFill="1" applyBorder="1" applyAlignment="1">
      <alignment horizontal="center"/>
    </xf>
    <xf numFmtId="0" fontId="24" fillId="0" borderId="99" xfId="1" applyFont="1" applyFill="1" applyBorder="1" applyAlignment="1">
      <alignment horizontal="center"/>
    </xf>
    <xf numFmtId="0" fontId="24" fillId="0" borderId="77" xfId="1" applyFont="1" applyFill="1" applyBorder="1" applyAlignment="1">
      <alignment horizontal="center"/>
    </xf>
    <xf numFmtId="0" fontId="1" fillId="0" borderId="39" xfId="1" applyBorder="1"/>
    <xf numFmtId="7" fontId="1" fillId="0" borderId="16" xfId="45" applyNumberFormat="1" applyFont="1" applyFill="1" applyBorder="1"/>
    <xf numFmtId="44" fontId="1" fillId="0" borderId="56" xfId="45" applyFont="1" applyFill="1" applyBorder="1"/>
    <xf numFmtId="44" fontId="1" fillId="0" borderId="35" xfId="45" applyFont="1" applyFill="1" applyBorder="1"/>
    <xf numFmtId="44" fontId="1" fillId="0" borderId="90" xfId="45" applyFont="1" applyFill="1" applyBorder="1"/>
    <xf numFmtId="44" fontId="1" fillId="0" borderId="107" xfId="45" applyFont="1" applyFill="1" applyBorder="1"/>
    <xf numFmtId="44" fontId="1" fillId="0" borderId="89" xfId="45" applyFont="1" applyFill="1" applyBorder="1"/>
    <xf numFmtId="44" fontId="1" fillId="0" borderId="75" xfId="45" applyFont="1" applyFill="1" applyBorder="1"/>
    <xf numFmtId="7" fontId="1" fillId="0" borderId="46" xfId="45" applyNumberFormat="1" applyFont="1" applyFill="1" applyBorder="1"/>
    <xf numFmtId="44" fontId="1" fillId="0" borderId="11" xfId="45" applyFont="1" applyFill="1" applyBorder="1"/>
    <xf numFmtId="44" fontId="1" fillId="0" borderId="84" xfId="45" applyFont="1" applyFill="1" applyBorder="1"/>
    <xf numFmtId="0" fontId="1" fillId="0" borderId="46" xfId="8" applyFont="1" applyFill="1" applyBorder="1"/>
    <xf numFmtId="0" fontId="1" fillId="0" borderId="42" xfId="8" applyFont="1" applyFill="1" applyBorder="1"/>
    <xf numFmtId="0" fontId="1" fillId="0" borderId="56" xfId="7" applyFont="1" applyFill="1" applyBorder="1"/>
    <xf numFmtId="0" fontId="1" fillId="0" borderId="91" xfId="0" applyFont="1" applyFill="1" applyBorder="1"/>
    <xf numFmtId="0" fontId="1" fillId="0" borderId="92" xfId="0" applyFont="1" applyFill="1" applyBorder="1"/>
    <xf numFmtId="7" fontId="1" fillId="0" borderId="93" xfId="45" applyNumberFormat="1" applyFont="1" applyFill="1" applyBorder="1"/>
    <xf numFmtId="44" fontId="1" fillId="0" borderId="94" xfId="45" applyFont="1" applyFill="1" applyBorder="1"/>
    <xf numFmtId="0" fontId="1" fillId="0" borderId="88" xfId="0" applyFont="1" applyFill="1" applyBorder="1"/>
    <xf numFmtId="0" fontId="1" fillId="0" borderId="35" xfId="0" applyFont="1" applyFill="1" applyBorder="1"/>
    <xf numFmtId="0" fontId="1" fillId="0" borderId="94" xfId="0" applyFont="1" applyFill="1" applyBorder="1"/>
    <xf numFmtId="7" fontId="1" fillId="0" borderId="100" xfId="45" applyNumberFormat="1" applyFont="1" applyFill="1" applyBorder="1"/>
    <xf numFmtId="44" fontId="1" fillId="0" borderId="86" xfId="45" applyFont="1" applyFill="1" applyBorder="1"/>
    <xf numFmtId="44" fontId="1" fillId="0" borderId="101" xfId="45" applyFont="1" applyFill="1" applyBorder="1"/>
    <xf numFmtId="44" fontId="1" fillId="0" borderId="105" xfId="45" applyFont="1" applyFill="1" applyBorder="1"/>
    <xf numFmtId="44" fontId="1" fillId="0" borderId="76" xfId="45" applyFont="1" applyFill="1" applyBorder="1"/>
    <xf numFmtId="44" fontId="1" fillId="0" borderId="77" xfId="45" applyFont="1" applyFill="1" applyBorder="1"/>
    <xf numFmtId="7" fontId="110" fillId="0" borderId="95" xfId="45" applyNumberFormat="1" applyFont="1" applyFill="1" applyBorder="1" applyAlignment="1">
      <alignment horizontal="left"/>
    </xf>
    <xf numFmtId="0" fontId="30" fillId="0" borderId="95" xfId="1" applyFont="1" applyFill="1" applyBorder="1" applyAlignment="1">
      <alignment horizontal="right"/>
    </xf>
    <xf numFmtId="0" fontId="30" fillId="0" borderId="49" xfId="1" applyFont="1" applyFill="1" applyBorder="1" applyAlignment="1">
      <alignment horizontal="center"/>
    </xf>
    <xf numFmtId="0" fontId="24" fillId="45" borderId="21" xfId="1" applyFont="1" applyFill="1" applyBorder="1" applyAlignment="1"/>
    <xf numFmtId="0" fontId="24" fillId="0" borderId="67" xfId="1" applyFont="1" applyBorder="1" applyAlignment="1">
      <alignment horizontal="left"/>
    </xf>
    <xf numFmtId="0" fontId="24" fillId="0" borderId="74" xfId="1" applyFont="1" applyBorder="1" applyAlignment="1">
      <alignment horizontal="left"/>
    </xf>
    <xf numFmtId="0" fontId="87" fillId="0" borderId="0" xfId="1" applyFont="1"/>
    <xf numFmtId="0" fontId="87" fillId="0" borderId="0" xfId="1" applyFont="1" applyBorder="1"/>
    <xf numFmtId="0" fontId="112" fillId="45" borderId="0" xfId="1" applyFont="1" applyFill="1" applyBorder="1" applyAlignment="1">
      <alignment horizontal="right"/>
    </xf>
    <xf numFmtId="0" fontId="87" fillId="45" borderId="0" xfId="1" applyFont="1" applyFill="1" applyBorder="1"/>
    <xf numFmtId="0" fontId="24" fillId="45" borderId="0" xfId="1" applyFont="1" applyFill="1" applyBorder="1" applyAlignment="1">
      <alignment horizontal="center"/>
    </xf>
    <xf numFmtId="0" fontId="87" fillId="45" borderId="0" xfId="1" applyFont="1" applyFill="1" applyBorder="1" applyAlignment="1"/>
    <xf numFmtId="3" fontId="85" fillId="45" borderId="28" xfId="1" applyNumberFormat="1" applyFont="1" applyFill="1" applyBorder="1" applyAlignment="1">
      <alignment horizontal="center"/>
    </xf>
    <xf numFmtId="0" fontId="112" fillId="45" borderId="0" xfId="1" applyFont="1" applyFill="1" applyBorder="1"/>
    <xf numFmtId="0" fontId="87" fillId="45" borderId="0" xfId="1" applyFont="1" applyFill="1"/>
    <xf numFmtId="0" fontId="87" fillId="0" borderId="0" xfId="1" applyFont="1" applyBorder="1" applyAlignment="1">
      <alignment horizontal="center"/>
    </xf>
    <xf numFmtId="0" fontId="87" fillId="45" borderId="10" xfId="1" applyFont="1" applyFill="1" applyBorder="1" applyAlignment="1"/>
    <xf numFmtId="0" fontId="31" fillId="36" borderId="74" xfId="1" applyFont="1" applyFill="1" applyBorder="1" applyAlignment="1">
      <alignment horizontal="center"/>
    </xf>
    <xf numFmtId="175" fontId="24" fillId="36" borderId="72" xfId="1" applyNumberFormat="1" applyFont="1" applyFill="1" applyBorder="1" applyAlignment="1">
      <alignment horizontal="center"/>
    </xf>
    <xf numFmtId="175" fontId="24" fillId="36" borderId="21" xfId="1" applyNumberFormat="1" applyFont="1" applyFill="1" applyBorder="1" applyAlignment="1">
      <alignment horizontal="center"/>
    </xf>
    <xf numFmtId="3" fontId="24" fillId="36" borderId="21" xfId="1" applyNumberFormat="1" applyFont="1" applyFill="1" applyBorder="1" applyAlignment="1">
      <alignment horizontal="center"/>
    </xf>
    <xf numFmtId="0" fontId="37" fillId="48" borderId="95" xfId="0" applyFont="1" applyFill="1" applyBorder="1" applyAlignment="1" applyProtection="1">
      <alignment horizontal="center" vertical="center"/>
    </xf>
    <xf numFmtId="176" fontId="0" fillId="0" borderId="12" xfId="0" applyNumberFormat="1" applyBorder="1"/>
    <xf numFmtId="0" fontId="46" fillId="0" borderId="21" xfId="1" applyFont="1" applyBorder="1" applyAlignment="1" applyProtection="1">
      <alignment horizontal="left" vertical="center"/>
      <protection locked="0"/>
    </xf>
    <xf numFmtId="0" fontId="42" fillId="0" borderId="10" xfId="1" applyFont="1" applyBorder="1" applyAlignment="1" applyProtection="1">
      <protection locked="0"/>
    </xf>
    <xf numFmtId="0" fontId="46" fillId="0" borderId="21" xfId="1" applyFont="1" applyBorder="1" applyAlignment="1" applyProtection="1">
      <alignment horizontal="center" vertical="center"/>
      <protection locked="0"/>
    </xf>
    <xf numFmtId="0" fontId="46" fillId="0" borderId="10" xfId="1" applyFont="1" applyBorder="1" applyAlignment="1" applyProtection="1">
      <alignment horizontal="center" vertical="center"/>
      <protection locked="0"/>
    </xf>
    <xf numFmtId="0" fontId="46" fillId="0" borderId="18" xfId="1" applyFont="1" applyBorder="1" applyAlignment="1" applyProtection="1">
      <alignment horizontal="center" vertical="center"/>
      <protection locked="0"/>
    </xf>
    <xf numFmtId="14" fontId="46" fillId="0" borderId="21" xfId="1" applyNumberFormat="1" applyFont="1" applyFill="1" applyBorder="1" applyAlignment="1" applyProtection="1">
      <alignment horizontal="center" vertical="center"/>
      <protection locked="0"/>
    </xf>
    <xf numFmtId="14" fontId="46" fillId="0" borderId="18" xfId="1" applyNumberFormat="1" applyFont="1" applyFill="1" applyBorder="1" applyAlignment="1" applyProtection="1">
      <alignment horizontal="center" vertical="center"/>
      <protection locked="0"/>
    </xf>
    <xf numFmtId="0" fontId="46" fillId="33" borderId="15" xfId="1" applyFont="1" applyFill="1" applyBorder="1" applyAlignment="1" applyProtection="1">
      <alignment horizontal="left" vertical="center" wrapText="1"/>
      <protection locked="0"/>
    </xf>
    <xf numFmtId="0" fontId="46" fillId="33" borderId="11" xfId="1" applyFont="1" applyFill="1" applyBorder="1" applyAlignment="1" applyProtection="1">
      <alignment horizontal="left" vertical="center" wrapText="1"/>
      <protection locked="0"/>
    </xf>
    <xf numFmtId="0" fontId="46" fillId="34" borderId="15" xfId="1" applyFont="1" applyFill="1" applyBorder="1" applyAlignment="1" applyProtection="1">
      <alignment horizontal="center" vertical="center"/>
      <protection locked="0"/>
    </xf>
    <xf numFmtId="0" fontId="46" fillId="34" borderId="16" xfId="1" applyFont="1" applyFill="1" applyBorder="1" applyAlignment="1" applyProtection="1">
      <alignment horizontal="center" vertical="center"/>
      <protection locked="0"/>
    </xf>
    <xf numFmtId="0" fontId="46" fillId="36" borderId="47" xfId="1" applyFont="1" applyFill="1" applyBorder="1" applyAlignment="1" applyProtection="1">
      <alignment horizontal="center" vertical="center"/>
      <protection locked="0"/>
    </xf>
    <xf numFmtId="0" fontId="46" fillId="36" borderId="48" xfId="1" applyFont="1" applyFill="1" applyBorder="1" applyAlignment="1" applyProtection="1">
      <alignment horizontal="center" vertical="center"/>
      <protection locked="0"/>
    </xf>
    <xf numFmtId="0" fontId="33" fillId="0" borderId="0" xfId="1" applyFont="1" applyAlignment="1" applyProtection="1">
      <alignment horizontal="center" vertical="center"/>
      <protection locked="0"/>
    </xf>
    <xf numFmtId="0" fontId="32" fillId="0" borderId="0" xfId="1" applyFont="1" applyAlignment="1" applyProtection="1">
      <alignment horizontal="left"/>
      <protection locked="0"/>
    </xf>
    <xf numFmtId="0" fontId="30" fillId="0" borderId="0" xfId="1" applyFont="1" applyAlignment="1" applyProtection="1">
      <protection locked="0"/>
    </xf>
    <xf numFmtId="0" fontId="31" fillId="0" borderId="11" xfId="1" applyFont="1" applyBorder="1" applyAlignment="1" applyProtection="1">
      <alignment horizontal="center" vertical="center"/>
      <protection locked="0"/>
    </xf>
    <xf numFmtId="0" fontId="30" fillId="0" borderId="11" xfId="1" applyFont="1" applyBorder="1" applyAlignment="1" applyProtection="1">
      <alignment horizontal="center" vertical="center"/>
      <protection locked="0"/>
    </xf>
    <xf numFmtId="0" fontId="30" fillId="0" borderId="16" xfId="1" applyFont="1" applyBorder="1" applyAlignment="1" applyProtection="1">
      <alignment horizontal="center" vertical="center"/>
      <protection locked="0"/>
    </xf>
    <xf numFmtId="0" fontId="31" fillId="41" borderId="12" xfId="1" applyFont="1" applyFill="1" applyBorder="1" applyAlignment="1" applyProtection="1">
      <alignment horizontal="center" vertical="center"/>
      <protection locked="0"/>
    </xf>
    <xf numFmtId="0" fontId="30" fillId="41" borderId="12" xfId="1" applyFont="1" applyFill="1" applyBorder="1" applyAlignment="1" applyProtection="1">
      <alignment horizontal="center" vertical="center"/>
      <protection locked="0"/>
    </xf>
    <xf numFmtId="0" fontId="66" fillId="42" borderId="24" xfId="1" applyFont="1" applyFill="1" applyBorder="1" applyAlignment="1" applyProtection="1">
      <alignment horizontal="center" vertical="center" wrapText="1"/>
      <protection locked="0"/>
    </xf>
    <xf numFmtId="0" fontId="66" fillId="42" borderId="23" xfId="1" applyFont="1" applyFill="1" applyBorder="1" applyAlignment="1" applyProtection="1">
      <alignment horizontal="center" vertical="center" wrapText="1"/>
      <protection locked="0"/>
    </xf>
    <xf numFmtId="0" fontId="66" fillId="42" borderId="17" xfId="1" applyFont="1" applyFill="1" applyBorder="1" applyAlignment="1" applyProtection="1">
      <alignment horizontal="center" vertical="center" wrapText="1"/>
      <protection locked="0"/>
    </xf>
    <xf numFmtId="0" fontId="66" fillId="42" borderId="14" xfId="1" applyFont="1" applyFill="1" applyBorder="1" applyAlignment="1" applyProtection="1">
      <alignment horizontal="center" vertical="center" wrapText="1"/>
      <protection locked="0"/>
    </xf>
    <xf numFmtId="0" fontId="66" fillId="42" borderId="0" xfId="1" applyFont="1" applyFill="1" applyBorder="1" applyAlignment="1" applyProtection="1">
      <alignment horizontal="center" vertical="center" wrapText="1"/>
      <protection locked="0"/>
    </xf>
    <xf numFmtId="0" fontId="66" fillId="42" borderId="25" xfId="1" applyFont="1" applyFill="1" applyBorder="1" applyAlignment="1" applyProtection="1">
      <alignment horizontal="center" vertical="center" wrapText="1"/>
      <protection locked="0"/>
    </xf>
    <xf numFmtId="0" fontId="66" fillId="42" borderId="45" xfId="1" applyFont="1" applyFill="1" applyBorder="1" applyAlignment="1" applyProtection="1">
      <alignment horizontal="center" vertical="center" wrapText="1"/>
      <protection locked="0"/>
    </xf>
    <xf numFmtId="0" fontId="66" fillId="42" borderId="22" xfId="1" applyFont="1" applyFill="1" applyBorder="1" applyAlignment="1" applyProtection="1">
      <alignment horizontal="center" vertical="center" wrapText="1"/>
      <protection locked="0"/>
    </xf>
    <xf numFmtId="0" fontId="66" fillId="42" borderId="46" xfId="1" applyFont="1" applyFill="1" applyBorder="1" applyAlignment="1" applyProtection="1">
      <alignment horizontal="center" vertical="center" wrapText="1"/>
      <protection locked="0"/>
    </xf>
    <xf numFmtId="0" fontId="30" fillId="33" borderId="12" xfId="1" applyFont="1" applyFill="1" applyBorder="1" applyAlignment="1" applyProtection="1">
      <alignment horizontal="center" vertical="center"/>
      <protection locked="0"/>
    </xf>
    <xf numFmtId="0" fontId="40" fillId="0" borderId="22" xfId="1" applyFont="1" applyBorder="1" applyAlignment="1" applyProtection="1">
      <alignment horizontal="center" vertical="center"/>
      <protection locked="0"/>
    </xf>
    <xf numFmtId="0" fontId="40" fillId="0" borderId="0" xfId="1" applyFont="1" applyBorder="1" applyAlignment="1" applyProtection="1">
      <alignment horizontal="center" vertical="center"/>
      <protection locked="0"/>
    </xf>
    <xf numFmtId="0" fontId="46" fillId="40" borderId="15" xfId="1" applyFont="1" applyFill="1" applyBorder="1" applyAlignment="1" applyProtection="1">
      <alignment horizontal="center" vertical="center"/>
      <protection locked="0"/>
    </xf>
    <xf numFmtId="0" fontId="46" fillId="40" borderId="11" xfId="1" applyFont="1" applyFill="1" applyBorder="1" applyAlignment="1" applyProtection="1">
      <alignment horizontal="center" vertical="center"/>
      <protection locked="0"/>
    </xf>
    <xf numFmtId="0" fontId="46" fillId="40" borderId="16" xfId="1" applyFont="1" applyFill="1" applyBorder="1" applyAlignment="1" applyProtection="1">
      <alignment horizontal="center" vertical="center"/>
      <protection locked="0"/>
    </xf>
    <xf numFmtId="0" fontId="31" fillId="40" borderId="24" xfId="1" applyFont="1" applyFill="1" applyBorder="1" applyAlignment="1" applyProtection="1">
      <alignment horizontal="center" vertical="center"/>
      <protection locked="0"/>
    </xf>
    <xf numFmtId="0" fontId="31" fillId="40" borderId="17" xfId="1" applyFont="1" applyFill="1" applyBorder="1" applyAlignment="1" applyProtection="1">
      <alignment horizontal="center" vertical="center"/>
      <protection locked="0"/>
    </xf>
    <xf numFmtId="0" fontId="45" fillId="0" borderId="24" xfId="0" applyFont="1" applyBorder="1" applyAlignment="1" applyProtection="1">
      <alignment horizontal="center" vertical="center"/>
      <protection locked="0"/>
    </xf>
    <xf numFmtId="0" fontId="45" fillId="0" borderId="23" xfId="0" applyFont="1" applyBorder="1" applyAlignment="1" applyProtection="1">
      <alignment horizontal="center" vertical="center"/>
      <protection locked="0"/>
    </xf>
    <xf numFmtId="0" fontId="45" fillId="0" borderId="17" xfId="0" applyFont="1" applyBorder="1" applyAlignment="1" applyProtection="1">
      <alignment horizontal="center" vertical="center"/>
      <protection locked="0"/>
    </xf>
    <xf numFmtId="0" fontId="45" fillId="0" borderId="14" xfId="0" applyFont="1" applyBorder="1" applyAlignment="1" applyProtection="1">
      <alignment horizontal="center" vertical="center"/>
      <protection locked="0"/>
    </xf>
    <xf numFmtId="0" fontId="45" fillId="0" borderId="0" xfId="0" applyFont="1" applyBorder="1" applyAlignment="1" applyProtection="1">
      <alignment horizontal="center" vertical="center"/>
      <protection locked="0"/>
    </xf>
    <xf numFmtId="0" fontId="45" fillId="0" borderId="25" xfId="0" applyFont="1" applyBorder="1" applyAlignment="1" applyProtection="1">
      <alignment horizontal="center" vertical="center"/>
      <protection locked="0"/>
    </xf>
    <xf numFmtId="0" fontId="45" fillId="0" borderId="53" xfId="0" applyFont="1" applyBorder="1" applyAlignment="1" applyProtection="1">
      <alignment horizontal="center" vertical="center"/>
      <protection locked="0"/>
    </xf>
    <xf numFmtId="0" fontId="45" fillId="0" borderId="26" xfId="0" applyFont="1" applyBorder="1" applyAlignment="1" applyProtection="1">
      <alignment horizontal="center" vertical="center"/>
      <protection locked="0"/>
    </xf>
    <xf numFmtId="0" fontId="45" fillId="0" borderId="54" xfId="0" applyFont="1" applyBorder="1" applyAlignment="1" applyProtection="1">
      <alignment horizontal="center" vertical="center"/>
      <protection locked="0"/>
    </xf>
    <xf numFmtId="0" fontId="31" fillId="0" borderId="0" xfId="1" applyFont="1" applyAlignment="1" applyProtection="1">
      <alignment horizontal="left" vertical="center"/>
      <protection locked="0"/>
    </xf>
    <xf numFmtId="0" fontId="30" fillId="0" borderId="25" xfId="1" applyFont="1" applyBorder="1" applyAlignment="1" applyProtection="1">
      <alignment vertical="center"/>
      <protection locked="0"/>
    </xf>
    <xf numFmtId="0" fontId="30" fillId="0" borderId="0" xfId="1" applyFont="1" applyAlignment="1" applyProtection="1">
      <alignment vertical="center"/>
      <protection locked="0"/>
    </xf>
    <xf numFmtId="0" fontId="38" fillId="0" borderId="23" xfId="1" applyFont="1" applyBorder="1" applyAlignment="1" applyProtection="1">
      <alignment horizontal="center" vertical="top"/>
      <protection locked="0"/>
    </xf>
    <xf numFmtId="0" fontId="39" fillId="0" borderId="23" xfId="1" applyFont="1" applyBorder="1" applyAlignment="1" applyProtection="1">
      <alignment horizontal="center" vertical="top"/>
      <protection locked="0"/>
    </xf>
    <xf numFmtId="0" fontId="0" fillId="0" borderId="15" xfId="0" applyBorder="1" applyAlignment="1">
      <alignment horizontal="left"/>
    </xf>
    <xf numFmtId="0" fontId="0" fillId="0" borderId="11" xfId="0" applyBorder="1" applyAlignment="1">
      <alignment horizontal="left"/>
    </xf>
    <xf numFmtId="0" fontId="0" fillId="0" borderId="16" xfId="0" applyBorder="1" applyAlignment="1">
      <alignment horizontal="left"/>
    </xf>
    <xf numFmtId="0" fontId="0" fillId="0" borderId="22" xfId="0" applyBorder="1" applyAlignment="1">
      <alignment horizontal="center"/>
    </xf>
    <xf numFmtId="0" fontId="67" fillId="0" borderId="0" xfId="0" applyFont="1" applyAlignment="1">
      <alignment horizontal="center"/>
    </xf>
    <xf numFmtId="15" fontId="0" fillId="0" borderId="15" xfId="0" applyNumberFormat="1" applyBorder="1" applyAlignment="1">
      <alignment horizontal="left"/>
    </xf>
    <xf numFmtId="164" fontId="0" fillId="0" borderId="15" xfId="72" applyNumberFormat="1" applyFont="1" applyBorder="1" applyAlignment="1">
      <alignment horizontal="left"/>
    </xf>
    <xf numFmtId="164" fontId="0" fillId="0" borderId="11" xfId="72" applyNumberFormat="1" applyFont="1" applyBorder="1" applyAlignment="1">
      <alignment horizontal="left"/>
    </xf>
    <xf numFmtId="164" fontId="0" fillId="0" borderId="16" xfId="72" applyNumberFormat="1" applyFont="1" applyBorder="1" applyAlignment="1">
      <alignment horizontal="left"/>
    </xf>
    <xf numFmtId="0" fontId="50" fillId="35" borderId="29" xfId="1" applyFont="1" applyFill="1" applyBorder="1" applyAlignment="1" applyProtection="1">
      <alignment horizontal="center" vertical="center" wrapText="1"/>
    </xf>
    <xf numFmtId="0" fontId="50" fillId="35" borderId="30" xfId="1" applyFont="1" applyFill="1" applyBorder="1" applyAlignment="1" applyProtection="1">
      <alignment horizontal="center" vertical="center" wrapText="1"/>
    </xf>
    <xf numFmtId="0" fontId="50" fillId="35" borderId="32" xfId="1" applyFont="1" applyFill="1" applyBorder="1" applyAlignment="1" applyProtection="1">
      <alignment horizontal="center" vertical="center" wrapText="1"/>
    </xf>
    <xf numFmtId="0" fontId="46" fillId="34" borderId="45" xfId="1" applyFont="1" applyFill="1" applyBorder="1" applyAlignment="1" applyProtection="1">
      <alignment horizontal="center" vertical="center"/>
      <protection locked="0"/>
    </xf>
    <xf numFmtId="0" fontId="46" fillId="34" borderId="22" xfId="1" applyFont="1" applyFill="1" applyBorder="1" applyAlignment="1" applyProtection="1">
      <alignment horizontal="center" vertical="center"/>
      <protection locked="0"/>
    </xf>
    <xf numFmtId="0" fontId="47" fillId="0" borderId="20" xfId="1" applyFont="1" applyBorder="1" applyAlignment="1" applyProtection="1">
      <alignment horizontal="left" vertical="center"/>
      <protection locked="0"/>
    </xf>
    <xf numFmtId="0" fontId="47" fillId="0" borderId="24" xfId="1" applyFont="1" applyBorder="1" applyAlignment="1" applyProtection="1">
      <alignment horizontal="left" vertical="center"/>
      <protection locked="0"/>
    </xf>
    <xf numFmtId="0" fontId="46" fillId="40" borderId="20" xfId="1" applyFont="1" applyFill="1" applyBorder="1" applyAlignment="1" applyProtection="1">
      <alignment horizontal="center" vertical="center"/>
      <protection locked="0"/>
    </xf>
    <xf numFmtId="0" fontId="46" fillId="33" borderId="16" xfId="1" applyFont="1" applyFill="1" applyBorder="1" applyAlignment="1" applyProtection="1">
      <alignment horizontal="left" vertical="center" wrapText="1"/>
      <protection locked="0"/>
    </xf>
    <xf numFmtId="0" fontId="50" fillId="0" borderId="43" xfId="1" applyFont="1" applyBorder="1" applyAlignment="1" applyProtection="1">
      <alignment horizontal="left" vertical="center"/>
      <protection locked="0"/>
    </xf>
    <xf numFmtId="0" fontId="50" fillId="0" borderId="44" xfId="1" applyFont="1" applyBorder="1" applyAlignment="1" applyProtection="1">
      <alignment horizontal="left" vertical="center"/>
      <protection locked="0"/>
    </xf>
    <xf numFmtId="0" fontId="47" fillId="0" borderId="35" xfId="1" applyFont="1" applyBorder="1" applyAlignment="1" applyProtection="1">
      <alignment horizontal="left" vertical="center"/>
      <protection locked="0"/>
    </xf>
    <xf numFmtId="0" fontId="47" fillId="0" borderId="12" xfId="1" applyFont="1" applyBorder="1" applyAlignment="1" applyProtection="1">
      <alignment horizontal="left" vertical="center"/>
      <protection locked="0"/>
    </xf>
    <xf numFmtId="0" fontId="47" fillId="0" borderId="37" xfId="1" applyFont="1" applyBorder="1" applyAlignment="1" applyProtection="1">
      <alignment horizontal="left" vertical="center"/>
      <protection locked="0"/>
    </xf>
    <xf numFmtId="0" fontId="47" fillId="0" borderId="11" xfId="1" applyFont="1" applyBorder="1" applyAlignment="1" applyProtection="1">
      <alignment horizontal="left" vertical="center"/>
      <protection locked="0"/>
    </xf>
    <xf numFmtId="0" fontId="63" fillId="42" borderId="21" xfId="1" applyFont="1" applyFill="1" applyBorder="1" applyAlignment="1" applyProtection="1">
      <alignment horizontal="center" vertical="center"/>
      <protection locked="0"/>
    </xf>
    <xf numFmtId="0" fontId="63" fillId="42" borderId="10" xfId="1" applyFont="1" applyFill="1" applyBorder="1" applyAlignment="1" applyProtection="1">
      <alignment horizontal="center" vertical="center"/>
      <protection locked="0"/>
    </xf>
    <xf numFmtId="0" fontId="63" fillId="42" borderId="18" xfId="1" applyFont="1" applyFill="1" applyBorder="1" applyAlignment="1" applyProtection="1">
      <alignment horizontal="center" vertical="center"/>
      <protection locked="0"/>
    </xf>
    <xf numFmtId="0" fontId="31" fillId="40" borderId="15" xfId="1" applyFont="1" applyFill="1" applyBorder="1" applyAlignment="1" applyProtection="1">
      <alignment horizontal="center" vertical="center"/>
      <protection locked="0"/>
    </xf>
    <xf numFmtId="0" fontId="31" fillId="40" borderId="11" xfId="1" applyFont="1" applyFill="1" applyBorder="1" applyAlignment="1" applyProtection="1">
      <alignment horizontal="center" vertical="center"/>
      <protection locked="0"/>
    </xf>
    <xf numFmtId="0" fontId="30" fillId="40" borderId="16" xfId="1" applyFont="1" applyFill="1" applyBorder="1" applyAlignment="1" applyProtection="1">
      <alignment horizontal="center" vertical="center"/>
      <protection locked="0"/>
    </xf>
    <xf numFmtId="14" fontId="63" fillId="42" borderId="21" xfId="1" applyNumberFormat="1" applyFont="1" applyFill="1" applyBorder="1" applyAlignment="1" applyProtection="1">
      <alignment horizontal="center" vertical="center"/>
      <protection locked="0"/>
    </xf>
    <xf numFmtId="14" fontId="63" fillId="42" borderId="18" xfId="1" applyNumberFormat="1" applyFont="1" applyFill="1" applyBorder="1" applyAlignment="1" applyProtection="1">
      <alignment horizontal="center" vertical="center"/>
      <protection locked="0"/>
    </xf>
    <xf numFmtId="14" fontId="46" fillId="0" borderId="21" xfId="1" applyNumberFormat="1" applyFont="1" applyBorder="1" applyAlignment="1" applyProtection="1">
      <alignment horizontal="center" vertical="center"/>
      <protection locked="0"/>
    </xf>
    <xf numFmtId="14" fontId="46" fillId="0" borderId="18" xfId="1" applyNumberFormat="1" applyFont="1" applyBorder="1" applyAlignment="1" applyProtection="1">
      <alignment horizontal="center" vertical="center"/>
      <protection locked="0"/>
    </xf>
    <xf numFmtId="0" fontId="40" fillId="0" borderId="23" xfId="1" applyFont="1" applyBorder="1" applyAlignment="1" applyProtection="1">
      <alignment horizontal="center" vertical="center"/>
      <protection locked="0"/>
    </xf>
    <xf numFmtId="0" fontId="49" fillId="0" borderId="29" xfId="1" applyFont="1" applyFill="1" applyBorder="1" applyAlignment="1" applyProtection="1">
      <alignment horizontal="center" vertical="center" wrapText="1"/>
    </xf>
    <xf numFmtId="0" fontId="49" fillId="0" borderId="30" xfId="1" applyFont="1" applyFill="1" applyBorder="1" applyAlignment="1" applyProtection="1">
      <alignment horizontal="center" vertical="center" wrapText="1"/>
    </xf>
    <xf numFmtId="0" fontId="49" fillId="0" borderId="32" xfId="1" applyFont="1" applyFill="1" applyBorder="1" applyAlignment="1" applyProtection="1">
      <alignment horizontal="center" vertical="center" wrapText="1"/>
    </xf>
    <xf numFmtId="0" fontId="60" fillId="42" borderId="11" xfId="1" applyFont="1" applyFill="1" applyBorder="1" applyAlignment="1" applyProtection="1">
      <alignment horizontal="center" vertical="center"/>
      <protection locked="0"/>
    </xf>
    <xf numFmtId="0" fontId="61" fillId="42" borderId="11" xfId="1" applyFont="1" applyFill="1" applyBorder="1" applyAlignment="1" applyProtection="1">
      <alignment horizontal="center" vertical="center"/>
      <protection locked="0"/>
    </xf>
    <xf numFmtId="0" fontId="61" fillId="42" borderId="16" xfId="1" applyFont="1" applyFill="1" applyBorder="1" applyAlignment="1" applyProtection="1">
      <alignment horizontal="center" vertical="center"/>
      <protection locked="0"/>
    </xf>
    <xf numFmtId="0" fontId="62" fillId="42" borderId="15" xfId="1" applyFont="1" applyFill="1" applyBorder="1" applyAlignment="1" applyProtection="1">
      <alignment horizontal="center" vertical="center"/>
    </xf>
    <xf numFmtId="0" fontId="62" fillId="42" borderId="11" xfId="1" applyFont="1" applyFill="1" applyBorder="1" applyAlignment="1" applyProtection="1">
      <alignment horizontal="center" vertical="center"/>
    </xf>
    <xf numFmtId="0" fontId="62" fillId="42" borderId="16" xfId="1" applyFont="1" applyFill="1" applyBorder="1" applyAlignment="1" applyProtection="1">
      <alignment horizontal="center" vertical="center"/>
    </xf>
    <xf numFmtId="168" fontId="41" fillId="35" borderId="15" xfId="1" applyNumberFormat="1" applyFont="1" applyFill="1" applyBorder="1" applyAlignment="1" applyProtection="1">
      <alignment horizontal="center" vertical="center"/>
    </xf>
    <xf numFmtId="168" fontId="41" fillId="35" borderId="16" xfId="1" applyNumberFormat="1" applyFont="1" applyFill="1" applyBorder="1" applyAlignment="1" applyProtection="1">
      <alignment horizontal="center" vertical="center"/>
    </xf>
    <xf numFmtId="0" fontId="31" fillId="0" borderId="11" xfId="1" applyFont="1" applyFill="1" applyBorder="1" applyAlignment="1" applyProtection="1">
      <alignment horizontal="center" vertical="center"/>
      <protection locked="0"/>
    </xf>
    <xf numFmtId="0" fontId="30" fillId="0" borderId="11" xfId="1" applyFont="1" applyFill="1" applyBorder="1" applyAlignment="1" applyProtection="1">
      <alignment horizontal="center" vertical="center"/>
      <protection locked="0"/>
    </xf>
    <xf numFmtId="0" fontId="30" fillId="0" borderId="16" xfId="1" applyFont="1" applyFill="1" applyBorder="1" applyAlignment="1" applyProtection="1">
      <alignment horizontal="center" vertical="center"/>
      <protection locked="0"/>
    </xf>
    <xf numFmtId="3" fontId="72" fillId="44" borderId="61" xfId="1" applyNumberFormat="1" applyFont="1" applyFill="1" applyBorder="1" applyAlignment="1" applyProtection="1">
      <alignment horizontal="center" vertical="center" wrapText="1" shrinkToFit="1"/>
    </xf>
    <xf numFmtId="3" fontId="72" fillId="44" borderId="62" xfId="1" applyNumberFormat="1" applyFont="1" applyFill="1" applyBorder="1" applyAlignment="1" applyProtection="1">
      <alignment horizontal="center" vertical="center" wrapText="1" shrinkToFit="1"/>
    </xf>
    <xf numFmtId="0" fontId="76" fillId="0" borderId="53" xfId="0" applyFont="1" applyBorder="1" applyAlignment="1" applyProtection="1">
      <alignment horizontal="left" vertical="top" wrapText="1"/>
      <protection locked="0"/>
    </xf>
    <xf numFmtId="0" fontId="76" fillId="0" borderId="26" xfId="0" applyFont="1" applyBorder="1" applyAlignment="1" applyProtection="1">
      <alignment horizontal="left" vertical="top" wrapText="1"/>
      <protection locked="0"/>
    </xf>
    <xf numFmtId="0" fontId="76" fillId="0" borderId="54" xfId="0" applyFont="1" applyBorder="1" applyAlignment="1" applyProtection="1">
      <alignment horizontal="left" vertical="top" wrapText="1"/>
      <protection locked="0"/>
    </xf>
    <xf numFmtId="3" fontId="72" fillId="44" borderId="33" xfId="1" applyNumberFormat="1" applyFont="1" applyFill="1" applyBorder="1" applyAlignment="1" applyProtection="1">
      <alignment horizontal="center" vertical="center" shrinkToFit="1"/>
      <protection locked="0"/>
    </xf>
    <xf numFmtId="3" fontId="72" fillId="44" borderId="34" xfId="1" applyNumberFormat="1" applyFont="1" applyFill="1" applyBorder="1" applyAlignment="1" applyProtection="1">
      <alignment horizontal="center" vertical="center" shrinkToFit="1"/>
      <protection locked="0"/>
    </xf>
    <xf numFmtId="3" fontId="72" fillId="44" borderId="27" xfId="1" applyNumberFormat="1" applyFont="1" applyFill="1" applyBorder="1" applyAlignment="1" applyProtection="1">
      <alignment horizontal="center" vertical="center" shrinkToFit="1"/>
      <protection locked="0"/>
    </xf>
    <xf numFmtId="3" fontId="72" fillId="44" borderId="36" xfId="1" applyNumberFormat="1" applyFont="1" applyFill="1" applyBorder="1" applyAlignment="1" applyProtection="1">
      <alignment horizontal="center" vertical="center" shrinkToFit="1"/>
      <protection locked="0"/>
    </xf>
    <xf numFmtId="3" fontId="72" fillId="44" borderId="0" xfId="1" applyNumberFormat="1" applyFont="1" applyFill="1" applyBorder="1" applyAlignment="1" applyProtection="1">
      <alignment horizontal="center" vertical="center" shrinkToFit="1"/>
      <protection locked="0"/>
    </xf>
    <xf numFmtId="3" fontId="72" fillId="44" borderId="19" xfId="1" applyNumberFormat="1" applyFont="1" applyFill="1" applyBorder="1" applyAlignment="1" applyProtection="1">
      <alignment horizontal="center" vertical="center" shrinkToFit="1"/>
      <protection locked="0"/>
    </xf>
    <xf numFmtId="3" fontId="72" fillId="44" borderId="14" xfId="1" applyNumberFormat="1" applyFont="1" applyFill="1" applyBorder="1" applyAlignment="1" applyProtection="1">
      <alignment horizontal="center" vertical="center" shrinkToFit="1"/>
    </xf>
    <xf numFmtId="3" fontId="72" fillId="44" borderId="0" xfId="1" applyNumberFormat="1" applyFont="1" applyFill="1" applyBorder="1" applyAlignment="1" applyProtection="1">
      <alignment horizontal="center" vertical="center" shrinkToFit="1"/>
    </xf>
    <xf numFmtId="0" fontId="76" fillId="0" borderId="14" xfId="0" applyFont="1" applyBorder="1" applyAlignment="1" applyProtection="1">
      <alignment horizontal="left" vertical="top" wrapText="1"/>
      <protection locked="0"/>
    </xf>
    <xf numFmtId="0" fontId="76" fillId="0" borderId="0" xfId="0" applyFont="1" applyBorder="1" applyAlignment="1" applyProtection="1">
      <alignment horizontal="left" vertical="top" wrapText="1"/>
      <protection locked="0"/>
    </xf>
    <xf numFmtId="0" fontId="76" fillId="0" borderId="25" xfId="0" applyFont="1" applyBorder="1" applyAlignment="1" applyProtection="1">
      <alignment horizontal="left" vertical="top" wrapText="1"/>
      <protection locked="0"/>
    </xf>
    <xf numFmtId="44" fontId="1" fillId="0" borderId="91" xfId="45" applyFont="1" applyFill="1" applyBorder="1" applyAlignment="1">
      <alignment horizontal="left"/>
    </xf>
    <xf numFmtId="44" fontId="1" fillId="0" borderId="90" xfId="45" applyFont="1" applyFill="1" applyBorder="1" applyAlignment="1">
      <alignment horizontal="left"/>
    </xf>
    <xf numFmtId="44" fontId="1" fillId="0" borderId="107" xfId="45" applyFont="1" applyFill="1" applyBorder="1" applyAlignment="1">
      <alignment horizontal="left"/>
    </xf>
    <xf numFmtId="44" fontId="1" fillId="0" borderId="104" xfId="45" applyFont="1" applyFill="1" applyBorder="1" applyAlignment="1">
      <alignment horizontal="left"/>
    </xf>
    <xf numFmtId="44" fontId="1" fillId="0" borderId="48" xfId="45" applyFont="1" applyFill="1" applyBorder="1" applyAlignment="1">
      <alignment horizontal="left"/>
    </xf>
    <xf numFmtId="44" fontId="1" fillId="0" borderId="103" xfId="45" applyFont="1" applyFill="1" applyBorder="1" applyAlignment="1">
      <alignment horizontal="left"/>
    </xf>
    <xf numFmtId="0" fontId="24" fillId="36" borderId="21" xfId="1" applyFont="1" applyFill="1" applyBorder="1" applyAlignment="1"/>
    <xf numFmtId="0" fontId="87" fillId="36" borderId="10" xfId="1" applyFont="1" applyFill="1" applyBorder="1"/>
    <xf numFmtId="0" fontId="87" fillId="36" borderId="18" xfId="1" applyFont="1" applyFill="1" applyBorder="1"/>
    <xf numFmtId="0" fontId="113" fillId="3" borderId="21" xfId="8" applyFont="1" applyBorder="1" applyAlignment="1">
      <alignment horizontal="center"/>
    </xf>
    <xf numFmtId="0" fontId="113" fillId="3" borderId="10" xfId="8" applyFont="1" applyBorder="1" applyAlignment="1">
      <alignment horizontal="center"/>
    </xf>
    <xf numFmtId="0" fontId="113" fillId="3" borderId="109" xfId="8" applyFont="1" applyBorder="1" applyAlignment="1">
      <alignment horizontal="center"/>
    </xf>
    <xf numFmtId="0" fontId="97" fillId="45" borderId="21" xfId="1" applyFont="1" applyFill="1" applyBorder="1" applyAlignment="1">
      <alignment horizontal="center"/>
    </xf>
    <xf numFmtId="0" fontId="1" fillId="0" borderId="10" xfId="1" applyBorder="1"/>
    <xf numFmtId="0" fontId="1" fillId="0" borderId="18" xfId="1" applyBorder="1"/>
    <xf numFmtId="0" fontId="97" fillId="45" borderId="38" xfId="1" applyFont="1" applyFill="1" applyBorder="1" applyAlignment="1">
      <alignment horizontal="center"/>
    </xf>
    <xf numFmtId="0" fontId="1" fillId="0" borderId="26" xfId="1" applyBorder="1"/>
    <xf numFmtId="0" fontId="1" fillId="0" borderId="28" xfId="1" applyBorder="1"/>
    <xf numFmtId="0" fontId="1" fillId="0" borderId="48" xfId="1" applyFont="1" applyFill="1" applyBorder="1" applyAlignment="1">
      <alignment horizontal="left" vertical="top"/>
    </xf>
    <xf numFmtId="0" fontId="1" fillId="0" borderId="103" xfId="1" applyFont="1" applyFill="1" applyBorder="1" applyAlignment="1">
      <alignment horizontal="left" vertical="top"/>
    </xf>
    <xf numFmtId="0" fontId="98" fillId="45" borderId="33" xfId="1" applyFont="1" applyFill="1" applyBorder="1" applyAlignment="1">
      <alignment horizontal="center" vertical="center" wrapText="1"/>
    </xf>
    <xf numFmtId="0" fontId="98" fillId="45" borderId="34" xfId="1" applyFont="1" applyFill="1" applyBorder="1" applyAlignment="1">
      <alignment horizontal="center" vertical="center" wrapText="1"/>
    </xf>
    <xf numFmtId="0" fontId="98" fillId="45" borderId="27" xfId="1" applyFont="1" applyFill="1" applyBorder="1" applyAlignment="1">
      <alignment horizontal="center" vertical="center" wrapText="1"/>
    </xf>
    <xf numFmtId="0" fontId="98" fillId="45" borderId="36" xfId="1" applyFont="1" applyFill="1" applyBorder="1" applyAlignment="1">
      <alignment horizontal="center" vertical="center" wrapText="1"/>
    </xf>
    <xf numFmtId="0" fontId="98" fillId="45" borderId="0" xfId="1" applyFont="1" applyFill="1" applyBorder="1" applyAlignment="1">
      <alignment horizontal="center" vertical="center" wrapText="1"/>
    </xf>
    <xf numFmtId="0" fontId="98" fillId="45" borderId="19" xfId="1" applyFont="1" applyFill="1" applyBorder="1" applyAlignment="1">
      <alignment horizontal="center" vertical="center" wrapText="1"/>
    </xf>
    <xf numFmtId="0" fontId="98" fillId="45" borderId="38" xfId="1" applyFont="1" applyFill="1" applyBorder="1" applyAlignment="1">
      <alignment horizontal="center" vertical="center" wrapText="1"/>
    </xf>
    <xf numFmtId="0" fontId="98" fillId="45" borderId="26" xfId="1" applyFont="1" applyFill="1" applyBorder="1" applyAlignment="1">
      <alignment horizontal="center" vertical="center" wrapText="1"/>
    </xf>
    <xf numFmtId="0" fontId="98" fillId="45" borderId="28" xfId="1" applyFont="1" applyFill="1" applyBorder="1" applyAlignment="1">
      <alignment horizontal="center" vertical="center" wrapText="1"/>
    </xf>
    <xf numFmtId="0" fontId="1" fillId="54" borderId="38" xfId="1" applyFill="1" applyBorder="1" applyAlignment="1">
      <alignment horizontal="center"/>
    </xf>
    <xf numFmtId="0" fontId="1" fillId="45" borderId="21" xfId="1" applyFont="1" applyFill="1" applyBorder="1" applyAlignment="1"/>
    <xf numFmtId="0" fontId="1" fillId="45" borderId="21" xfId="1" applyFill="1" applyBorder="1" applyAlignment="1"/>
    <xf numFmtId="0" fontId="1" fillId="45" borderId="43" xfId="1" applyFill="1" applyBorder="1" applyAlignment="1">
      <alignment horizontal="center"/>
    </xf>
    <xf numFmtId="0" fontId="1" fillId="0" borderId="106" xfId="1" applyBorder="1"/>
    <xf numFmtId="0" fontId="1" fillId="0" borderId="44" xfId="1" applyBorder="1"/>
    <xf numFmtId="0" fontId="94" fillId="45" borderId="21" xfId="1" applyFont="1" applyFill="1" applyBorder="1" applyAlignment="1">
      <alignment wrapText="1"/>
    </xf>
    <xf numFmtId="0" fontId="1" fillId="0" borderId="90" xfId="1" applyFont="1" applyFill="1" applyBorder="1" applyAlignment="1">
      <alignment horizontal="left" vertical="top"/>
    </xf>
    <xf numFmtId="0" fontId="1" fillId="0" borderId="107" xfId="1" applyFont="1" applyFill="1" applyBorder="1" applyAlignment="1">
      <alignment horizontal="left" vertical="top"/>
    </xf>
    <xf numFmtId="175" fontId="1" fillId="45" borderId="21" xfId="1" applyNumberFormat="1" applyFill="1" applyBorder="1" applyAlignment="1"/>
    <xf numFmtId="0" fontId="1" fillId="45" borderId="104" xfId="1" applyFill="1" applyBorder="1" applyAlignment="1"/>
    <xf numFmtId="0" fontId="1" fillId="0" borderId="103" xfId="1" applyBorder="1"/>
    <xf numFmtId="0" fontId="1" fillId="0" borderId="48" xfId="1" applyBorder="1"/>
    <xf numFmtId="0" fontId="1" fillId="45" borderId="21" xfId="1" applyFont="1" applyFill="1" applyBorder="1" applyAlignment="1">
      <alignment wrapText="1"/>
    </xf>
    <xf numFmtId="0" fontId="85" fillId="45" borderId="21" xfId="1" applyFont="1" applyFill="1" applyBorder="1" applyAlignment="1">
      <alignment horizontal="center"/>
    </xf>
    <xf numFmtId="0" fontId="31" fillId="61" borderId="21" xfId="1" applyFont="1" applyFill="1" applyBorder="1" applyAlignment="1">
      <alignment horizontal="center" vertical="center"/>
    </xf>
    <xf numFmtId="0" fontId="24" fillId="61" borderId="0" xfId="1" applyFont="1" applyFill="1" applyBorder="1" applyAlignment="1">
      <alignment horizontal="left"/>
    </xf>
    <xf numFmtId="0" fontId="1" fillId="0" borderId="19" xfId="1" applyBorder="1"/>
    <xf numFmtId="49" fontId="87" fillId="45" borderId="0" xfId="1" applyNumberFormat="1" applyFont="1" applyFill="1" applyBorder="1" applyAlignment="1">
      <alignment horizontal="center"/>
    </xf>
    <xf numFmtId="0" fontId="24" fillId="61" borderId="26" xfId="1" applyFont="1" applyFill="1" applyBorder="1" applyAlignment="1">
      <alignment horizontal="left"/>
    </xf>
    <xf numFmtId="0" fontId="87" fillId="45" borderId="86" xfId="1" applyFont="1" applyFill="1" applyBorder="1" applyAlignment="1">
      <alignment horizontal="center"/>
    </xf>
    <xf numFmtId="0" fontId="1" fillId="0" borderId="87" xfId="1" applyBorder="1"/>
    <xf numFmtId="0" fontId="87" fillId="45" borderId="0" xfId="1" applyFont="1" applyFill="1" applyBorder="1" applyAlignment="1">
      <alignment horizontal="center"/>
    </xf>
    <xf numFmtId="0" fontId="24" fillId="34" borderId="0" xfId="1" applyFont="1" applyFill="1" applyBorder="1" applyAlignment="1">
      <alignment horizontal="left"/>
    </xf>
    <xf numFmtId="0" fontId="24" fillId="34" borderId="22" xfId="1" applyFont="1" applyFill="1" applyBorder="1" applyAlignment="1">
      <alignment horizontal="left"/>
    </xf>
    <xf numFmtId="0" fontId="1" fillId="0" borderId="39" xfId="1" applyBorder="1"/>
    <xf numFmtId="0" fontId="92" fillId="34" borderId="30" xfId="1" applyFont="1" applyFill="1" applyBorder="1" applyAlignment="1">
      <alignment horizontal="center" vertical="center" wrapText="1"/>
    </xf>
    <xf numFmtId="0" fontId="92" fillId="34" borderId="32" xfId="1" applyFont="1" applyFill="1" applyBorder="1" applyAlignment="1">
      <alignment horizontal="center" vertical="center" wrapText="1"/>
    </xf>
    <xf numFmtId="0" fontId="57" fillId="34" borderId="36" xfId="1" applyFont="1" applyFill="1" applyBorder="1" applyAlignment="1">
      <alignment horizontal="center" vertical="center" wrapText="1"/>
    </xf>
    <xf numFmtId="0" fontId="71" fillId="58" borderId="0" xfId="1" applyFont="1" applyFill="1" applyBorder="1" applyAlignment="1">
      <alignment horizontal="center" vertical="center"/>
    </xf>
    <xf numFmtId="0" fontId="1" fillId="0" borderId="0" xfId="1"/>
    <xf numFmtId="0" fontId="96" fillId="60" borderId="36" xfId="1" applyFont="1" applyFill="1" applyBorder="1" applyAlignment="1">
      <alignment wrapText="1"/>
    </xf>
    <xf numFmtId="0" fontId="93" fillId="34" borderId="30" xfId="1" applyFont="1" applyFill="1" applyBorder="1" applyAlignment="1">
      <alignment horizontal="center" vertical="center" wrapText="1"/>
    </xf>
    <xf numFmtId="0" fontId="93" fillId="34" borderId="32" xfId="1" applyFont="1" applyFill="1" applyBorder="1" applyAlignment="1">
      <alignment horizontal="center" vertical="center" wrapText="1"/>
    </xf>
    <xf numFmtId="0" fontId="57" fillId="34" borderId="19" xfId="1" applyFont="1" applyFill="1" applyBorder="1" applyAlignment="1">
      <alignment horizontal="center" vertical="center" wrapText="1"/>
    </xf>
    <xf numFmtId="0" fontId="57" fillId="34" borderId="33" xfId="1" applyFont="1" applyFill="1" applyBorder="1" applyAlignment="1">
      <alignment horizontal="center" vertical="center" wrapText="1"/>
    </xf>
    <xf numFmtId="0" fontId="1" fillId="0" borderId="27" xfId="1" applyBorder="1"/>
    <xf numFmtId="0" fontId="57" fillId="34" borderId="30" xfId="1" applyFont="1" applyFill="1" applyBorder="1" applyAlignment="1">
      <alignment horizontal="center" vertical="center" wrapText="1"/>
    </xf>
    <xf numFmtId="0" fontId="1" fillId="0" borderId="30" xfId="1" applyBorder="1"/>
    <xf numFmtId="0" fontId="1" fillId="0" borderId="32" xfId="1" applyBorder="1"/>
    <xf numFmtId="0" fontId="1" fillId="0" borderId="36" xfId="1" applyBorder="1"/>
    <xf numFmtId="0" fontId="1" fillId="0" borderId="38" xfId="1" applyBorder="1"/>
    <xf numFmtId="0" fontId="90" fillId="57" borderId="33" xfId="1" applyFont="1" applyFill="1" applyBorder="1" applyAlignment="1">
      <alignment horizontal="center" vertical="center"/>
    </xf>
    <xf numFmtId="0" fontId="1" fillId="0" borderId="34" xfId="1" applyBorder="1"/>
    <xf numFmtId="0" fontId="1" fillId="0" borderId="0" xfId="1" applyBorder="1"/>
    <xf numFmtId="0" fontId="92" fillId="34" borderId="29" xfId="1" applyFont="1" applyFill="1" applyBorder="1" applyAlignment="1">
      <alignment horizontal="center" vertical="center" wrapText="1"/>
    </xf>
    <xf numFmtId="0" fontId="92" fillId="34" borderId="34" xfId="1" applyFont="1" applyFill="1" applyBorder="1" applyAlignment="1">
      <alignment horizontal="center" vertical="center"/>
    </xf>
    <xf numFmtId="0" fontId="71" fillId="34" borderId="29" xfId="1" applyFont="1" applyFill="1" applyBorder="1" applyAlignment="1">
      <alignment horizontal="center" vertical="center"/>
    </xf>
    <xf numFmtId="0" fontId="93" fillId="34" borderId="33" xfId="1" applyFont="1" applyFill="1" applyBorder="1" applyAlignment="1">
      <alignment horizontal="center" vertical="center" wrapText="1"/>
    </xf>
    <xf numFmtId="0" fontId="93" fillId="34" borderId="27" xfId="1" applyFont="1" applyFill="1" applyBorder="1" applyAlignment="1">
      <alignment horizontal="center" vertical="center" wrapText="1"/>
    </xf>
    <xf numFmtId="0" fontId="93" fillId="34" borderId="36" xfId="1" applyFont="1" applyFill="1" applyBorder="1" applyAlignment="1">
      <alignment horizontal="center" vertical="center" wrapText="1"/>
    </xf>
    <xf numFmtId="0" fontId="93" fillId="34" borderId="19" xfId="1" applyFont="1" applyFill="1" applyBorder="1" applyAlignment="1">
      <alignment horizontal="center" vertical="center" wrapText="1"/>
    </xf>
    <xf numFmtId="0" fontId="71" fillId="54" borderId="70" xfId="1" applyFont="1" applyFill="1" applyBorder="1" applyAlignment="1">
      <alignment horizontal="center"/>
    </xf>
    <xf numFmtId="0" fontId="71" fillId="0" borderId="73" xfId="1" applyFont="1" applyBorder="1" applyAlignment="1">
      <alignment horizontal="center"/>
    </xf>
    <xf numFmtId="0" fontId="24" fillId="55" borderId="10" xfId="1" applyFont="1" applyFill="1" applyBorder="1" applyAlignment="1">
      <alignment horizontal="center" vertical="center"/>
    </xf>
    <xf numFmtId="0" fontId="87" fillId="0" borderId="10" xfId="1" applyFont="1" applyBorder="1"/>
    <xf numFmtId="0" fontId="87" fillId="0" borderId="18" xfId="1" applyFont="1" applyBorder="1"/>
    <xf numFmtId="0" fontId="24" fillId="45" borderId="21" xfId="1" applyFont="1" applyFill="1" applyBorder="1" applyAlignment="1"/>
    <xf numFmtId="0" fontId="87" fillId="36" borderId="21" xfId="1" applyFont="1" applyFill="1" applyBorder="1" applyAlignment="1">
      <alignment horizontal="center"/>
    </xf>
    <xf numFmtId="0" fontId="87" fillId="45" borderId="33" xfId="1" applyFont="1" applyFill="1" applyBorder="1" applyAlignment="1"/>
    <xf numFmtId="0" fontId="87" fillId="0" borderId="34" xfId="1" applyFont="1" applyBorder="1"/>
    <xf numFmtId="0" fontId="87" fillId="0" borderId="27" xfId="1" applyFont="1" applyBorder="1"/>
    <xf numFmtId="0" fontId="87" fillId="0" borderId="36" xfId="1" applyFont="1" applyBorder="1"/>
    <xf numFmtId="0" fontId="87" fillId="0" borderId="0" xfId="1" applyFont="1"/>
    <xf numFmtId="0" fontId="87" fillId="0" borderId="19" xfId="1" applyFont="1" applyBorder="1"/>
    <xf numFmtId="0" fontId="87" fillId="0" borderId="38" xfId="1" applyFont="1" applyBorder="1"/>
    <xf numFmtId="0" fontId="87" fillId="0" borderId="26" xfId="1" applyFont="1" applyBorder="1"/>
    <xf numFmtId="0" fontId="87" fillId="0" borderId="28" xfId="1" applyFont="1" applyBorder="1"/>
    <xf numFmtId="0" fontId="71" fillId="54" borderId="35" xfId="1" applyFont="1" applyFill="1" applyBorder="1" applyAlignment="1">
      <alignment horizontal="center"/>
    </xf>
    <xf numFmtId="0" fontId="71" fillId="0" borderId="56" xfId="1" applyFont="1" applyBorder="1" applyAlignment="1">
      <alignment horizontal="center"/>
    </xf>
    <xf numFmtId="0" fontId="24" fillId="45" borderId="34" xfId="1" applyFont="1" applyFill="1" applyBorder="1" applyAlignment="1"/>
    <xf numFmtId="0" fontId="88" fillId="45" borderId="34" xfId="1" applyFont="1" applyFill="1" applyBorder="1" applyAlignment="1">
      <alignment horizontal="center"/>
    </xf>
    <xf numFmtId="0" fontId="88" fillId="45" borderId="27" xfId="1" applyFont="1" applyFill="1" applyBorder="1" applyAlignment="1">
      <alignment horizontal="center"/>
    </xf>
    <xf numFmtId="0" fontId="24" fillId="45" borderId="26" xfId="1" applyFont="1" applyFill="1" applyBorder="1" applyAlignment="1"/>
    <xf numFmtId="0" fontId="71" fillId="54" borderId="71" xfId="1" applyFont="1" applyFill="1" applyBorder="1" applyAlignment="1">
      <alignment horizontal="center"/>
    </xf>
    <xf numFmtId="0" fontId="71" fillId="0" borderId="76" xfId="1" applyFont="1" applyBorder="1" applyAlignment="1">
      <alignment horizontal="center"/>
    </xf>
    <xf numFmtId="0" fontId="24" fillId="56" borderId="21" xfId="1" applyFont="1" applyFill="1" applyBorder="1" applyAlignment="1">
      <alignment horizontal="left" vertical="center"/>
    </xf>
    <xf numFmtId="0" fontId="82" fillId="0" borderId="0" xfId="1" applyFont="1" applyAlignment="1">
      <alignment horizontal="center" vertical="center" wrapText="1"/>
    </xf>
    <xf numFmtId="0" fontId="87" fillId="50" borderId="33" xfId="1" applyFont="1" applyFill="1" applyBorder="1" applyAlignment="1">
      <alignment horizontal="center"/>
    </xf>
    <xf numFmtId="0" fontId="87" fillId="50" borderId="34" xfId="1" applyFont="1" applyFill="1" applyBorder="1" applyAlignment="1">
      <alignment horizontal="center"/>
    </xf>
    <xf numFmtId="0" fontId="87" fillId="50" borderId="27" xfId="1" applyFont="1" applyFill="1" applyBorder="1" applyAlignment="1">
      <alignment horizontal="center"/>
    </xf>
    <xf numFmtId="0" fontId="87" fillId="50" borderId="36" xfId="1" applyFont="1" applyFill="1" applyBorder="1" applyAlignment="1">
      <alignment horizontal="center"/>
    </xf>
    <xf numFmtId="0" fontId="87" fillId="50" borderId="0" xfId="1" applyFont="1" applyFill="1" applyBorder="1" applyAlignment="1">
      <alignment horizontal="center"/>
    </xf>
    <xf numFmtId="0" fontId="87" fillId="50" borderId="19" xfId="1" applyFont="1" applyFill="1" applyBorder="1" applyAlignment="1">
      <alignment horizontal="center"/>
    </xf>
    <xf numFmtId="0" fontId="87" fillId="50" borderId="38" xfId="1" applyFont="1" applyFill="1" applyBorder="1" applyAlignment="1">
      <alignment horizontal="center"/>
    </xf>
    <xf numFmtId="0" fontId="87" fillId="50" borderId="26" xfId="1" applyFont="1" applyFill="1" applyBorder="1" applyAlignment="1">
      <alignment horizontal="center"/>
    </xf>
    <xf numFmtId="0" fontId="87" fillId="50" borderId="28" xfId="1" applyFont="1" applyFill="1" applyBorder="1" applyAlignment="1">
      <alignment horizontal="center"/>
    </xf>
    <xf numFmtId="0" fontId="24" fillId="0" borderId="70" xfId="1" applyFont="1" applyBorder="1" applyAlignment="1">
      <alignment horizontal="left" vertical="center"/>
    </xf>
    <xf numFmtId="0" fontId="24" fillId="0" borderId="110" xfId="1" applyFont="1" applyBorder="1" applyAlignment="1">
      <alignment horizontal="left" vertical="center"/>
    </xf>
    <xf numFmtId="0" fontId="24" fillId="0" borderId="35" xfId="1" applyFont="1" applyBorder="1" applyAlignment="1">
      <alignment horizontal="left" vertical="center"/>
    </xf>
    <xf numFmtId="0" fontId="24" fillId="0" borderId="89" xfId="1" applyFont="1" applyBorder="1" applyAlignment="1">
      <alignment horizontal="left" vertical="center"/>
    </xf>
    <xf numFmtId="0" fontId="24" fillId="36" borderId="33" xfId="1" applyFont="1" applyFill="1" applyBorder="1" applyAlignment="1">
      <alignment horizontal="center"/>
    </xf>
    <xf numFmtId="0" fontId="24" fillId="36" borderId="27" xfId="1" applyFont="1" applyFill="1" applyBorder="1" applyAlignment="1">
      <alignment horizontal="center"/>
    </xf>
    <xf numFmtId="0" fontId="24" fillId="36" borderId="38" xfId="1" applyFont="1" applyFill="1" applyBorder="1" applyAlignment="1">
      <alignment horizontal="center"/>
    </xf>
    <xf numFmtId="0" fontId="24" fillId="36" borderId="28" xfId="1" applyFont="1" applyFill="1" applyBorder="1" applyAlignment="1">
      <alignment horizontal="center"/>
    </xf>
    <xf numFmtId="0" fontId="24" fillId="0" borderId="71" xfId="1" applyFont="1" applyBorder="1" applyAlignment="1">
      <alignment horizontal="left" vertical="center"/>
    </xf>
    <xf numFmtId="0" fontId="24" fillId="0" borderId="47" xfId="1" applyFont="1" applyBorder="1" applyAlignment="1">
      <alignment horizontal="left" vertical="center"/>
    </xf>
    <xf numFmtId="0" fontId="24" fillId="34" borderId="21" xfId="1" applyFont="1" applyFill="1" applyBorder="1" applyAlignment="1">
      <alignment horizontal="center" vertical="center"/>
    </xf>
    <xf numFmtId="0" fontId="24" fillId="52" borderId="21" xfId="1" applyFont="1" applyFill="1" applyBorder="1" applyAlignment="1">
      <alignment horizontal="center" vertical="center"/>
    </xf>
    <xf numFmtId="0" fontId="24" fillId="53" borderId="21" xfId="1" applyFont="1" applyFill="1" applyBorder="1" applyAlignment="1">
      <alignment horizontal="center" vertical="center"/>
    </xf>
    <xf numFmtId="0" fontId="24" fillId="36" borderId="21" xfId="1" applyFont="1" applyFill="1" applyBorder="1" applyAlignment="1">
      <alignment horizontal="center"/>
    </xf>
    <xf numFmtId="0" fontId="87" fillId="36" borderId="10" xfId="1" applyFont="1" applyFill="1" applyBorder="1" applyAlignment="1">
      <alignment horizontal="center"/>
    </xf>
    <xf numFmtId="0" fontId="87" fillId="36" borderId="18" xfId="1" applyFont="1" applyFill="1" applyBorder="1" applyAlignment="1">
      <alignment horizontal="center"/>
    </xf>
    <xf numFmtId="0" fontId="85" fillId="45" borderId="0" xfId="1" applyFont="1" applyFill="1" applyBorder="1" applyAlignment="1"/>
    <xf numFmtId="0" fontId="87" fillId="0" borderId="0" xfId="1" applyFont="1" applyBorder="1"/>
    <xf numFmtId="0" fontId="86" fillId="0" borderId="21" xfId="1" applyFont="1" applyFill="1" applyBorder="1" applyAlignment="1">
      <alignment horizontal="center"/>
    </xf>
    <xf numFmtId="0" fontId="86" fillId="0" borderId="10" xfId="1" applyFont="1" applyFill="1" applyBorder="1" applyAlignment="1">
      <alignment horizontal="center"/>
    </xf>
    <xf numFmtId="0" fontId="86" fillId="0" borderId="18" xfId="1" applyFont="1" applyFill="1" applyBorder="1" applyAlignment="1">
      <alignment horizontal="center"/>
    </xf>
    <xf numFmtId="0" fontId="24" fillId="33" borderId="21" xfId="1" applyFont="1" applyFill="1" applyBorder="1" applyAlignment="1">
      <alignment horizontal="center"/>
    </xf>
    <xf numFmtId="0" fontId="24" fillId="33" borderId="10" xfId="1" applyFont="1" applyFill="1" applyBorder="1"/>
    <xf numFmtId="0" fontId="24" fillId="33" borderId="18" xfId="1" applyFont="1" applyFill="1" applyBorder="1"/>
    <xf numFmtId="0" fontId="30" fillId="0" borderId="21" xfId="1" applyFont="1" applyFill="1" applyBorder="1" applyAlignment="1">
      <alignment horizontal="center"/>
    </xf>
    <xf numFmtId="0" fontId="30" fillId="0" borderId="10" xfId="1" applyFont="1" applyFill="1" applyBorder="1" applyAlignment="1">
      <alignment horizontal="center"/>
    </xf>
    <xf numFmtId="0" fontId="30" fillId="0" borderId="18" xfId="1" applyFont="1" applyFill="1" applyBorder="1" applyAlignment="1">
      <alignment horizontal="center"/>
    </xf>
    <xf numFmtId="0" fontId="31" fillId="69" borderId="29" xfId="1" applyFont="1" applyFill="1" applyBorder="1" applyAlignment="1">
      <alignment horizontal="center" vertical="center" wrapText="1"/>
    </xf>
    <xf numFmtId="0" fontId="31" fillId="69" borderId="30" xfId="1" applyFont="1" applyFill="1" applyBorder="1" applyAlignment="1">
      <alignment horizontal="center" vertical="center" wrapText="1"/>
    </xf>
    <xf numFmtId="0" fontId="31" fillId="69" borderId="32" xfId="1" applyFont="1" applyFill="1" applyBorder="1" applyAlignment="1">
      <alignment horizontal="center" vertical="center" wrapText="1"/>
    </xf>
    <xf numFmtId="0" fontId="31" fillId="69" borderId="29" xfId="1" applyFont="1" applyFill="1" applyBorder="1" applyAlignment="1">
      <alignment horizontal="center" vertical="center"/>
    </xf>
    <xf numFmtId="0" fontId="31" fillId="69" borderId="30" xfId="1" applyFont="1" applyFill="1" applyBorder="1" applyAlignment="1">
      <alignment horizontal="center" vertical="center"/>
    </xf>
    <xf numFmtId="0" fontId="31" fillId="69" borderId="32" xfId="1" applyFont="1" applyFill="1" applyBorder="1" applyAlignment="1">
      <alignment horizontal="center" vertical="center"/>
    </xf>
    <xf numFmtId="0" fontId="109" fillId="67" borderId="29" xfId="1" applyFont="1" applyFill="1" applyBorder="1" applyAlignment="1">
      <alignment horizontal="center" vertical="center" wrapText="1"/>
    </xf>
    <xf numFmtId="0" fontId="109" fillId="67" borderId="32" xfId="1" applyFont="1" applyFill="1" applyBorder="1" applyAlignment="1">
      <alignment horizontal="center" vertical="center" wrapText="1"/>
    </xf>
    <xf numFmtId="0" fontId="31" fillId="68" borderId="29" xfId="1" applyFont="1" applyFill="1" applyBorder="1" applyAlignment="1">
      <alignment horizontal="center" vertical="center" wrapText="1"/>
    </xf>
    <xf numFmtId="0" fontId="31" fillId="68" borderId="32" xfId="1" applyFont="1" applyFill="1" applyBorder="1" applyAlignment="1">
      <alignment horizontal="center" vertical="center" wrapText="1"/>
    </xf>
    <xf numFmtId="0" fontId="31" fillId="69" borderId="43" xfId="1" applyFont="1" applyFill="1" applyBorder="1" applyAlignment="1">
      <alignment horizontal="center" vertical="center" wrapText="1"/>
    </xf>
    <xf numFmtId="0" fontId="31" fillId="69" borderId="106" xfId="1" applyFont="1" applyFill="1" applyBorder="1" applyAlignment="1">
      <alignment horizontal="center" vertical="center" wrapText="1"/>
    </xf>
    <xf numFmtId="0" fontId="107" fillId="64" borderId="21" xfId="1" applyFont="1" applyFill="1" applyBorder="1" applyAlignment="1">
      <alignment horizontal="center" vertical="center" wrapText="1" shrinkToFit="1"/>
    </xf>
    <xf numFmtId="0" fontId="107" fillId="64" borderId="10" xfId="1" applyFont="1" applyFill="1" applyBorder="1" applyAlignment="1">
      <alignment horizontal="center" vertical="center" wrapText="1" shrinkToFit="1"/>
    </xf>
    <xf numFmtId="0" fontId="107" fillId="64" borderId="18" xfId="1" applyFont="1" applyFill="1" applyBorder="1" applyAlignment="1">
      <alignment horizontal="center" vertical="center" wrapText="1" shrinkToFit="1"/>
    </xf>
    <xf numFmtId="0" fontId="107" fillId="65" borderId="21" xfId="1" applyFont="1" applyFill="1" applyBorder="1" applyAlignment="1">
      <alignment horizontal="center" vertical="center" wrapText="1"/>
    </xf>
    <xf numFmtId="0" fontId="107" fillId="65" borderId="10" xfId="1" applyFont="1" applyFill="1" applyBorder="1" applyAlignment="1">
      <alignment horizontal="center" vertical="center" wrapText="1"/>
    </xf>
    <xf numFmtId="0" fontId="107" fillId="65" borderId="18" xfId="1" applyFont="1" applyFill="1" applyBorder="1" applyAlignment="1">
      <alignment horizontal="center" vertical="center" wrapText="1"/>
    </xf>
    <xf numFmtId="0" fontId="108" fillId="66" borderId="29" xfId="1" applyFont="1" applyFill="1" applyBorder="1" applyAlignment="1">
      <alignment horizontal="center" vertical="center" wrapText="1"/>
    </xf>
    <xf numFmtId="0" fontId="108" fillId="66" borderId="30" xfId="1" applyFont="1" applyFill="1" applyBorder="1" applyAlignment="1">
      <alignment horizontal="center" vertical="center" wrapText="1"/>
    </xf>
    <xf numFmtId="0" fontId="108" fillId="66" borderId="32" xfId="1" applyFont="1" applyFill="1" applyBorder="1" applyAlignment="1">
      <alignment horizontal="center" vertical="center" wrapText="1"/>
    </xf>
    <xf numFmtId="0" fontId="31" fillId="66" borderId="29" xfId="1" applyFont="1" applyFill="1" applyBorder="1" applyAlignment="1">
      <alignment horizontal="center" vertical="center"/>
    </xf>
    <xf numFmtId="0" fontId="31" fillId="66" borderId="30" xfId="1" applyFont="1" applyFill="1" applyBorder="1" applyAlignment="1">
      <alignment horizontal="center" vertical="center"/>
    </xf>
    <xf numFmtId="0" fontId="31" fillId="66" borderId="32" xfId="1" applyFont="1" applyFill="1" applyBorder="1" applyAlignment="1">
      <alignment horizontal="center" vertical="center"/>
    </xf>
    <xf numFmtId="0" fontId="108" fillId="67" borderId="33" xfId="1" applyFont="1" applyFill="1" applyBorder="1" applyAlignment="1">
      <alignment horizontal="center" vertical="center" wrapText="1"/>
    </xf>
    <xf numFmtId="0" fontId="108" fillId="67" borderId="34" xfId="1" applyFont="1" applyFill="1" applyBorder="1" applyAlignment="1">
      <alignment horizontal="center" vertical="center" wrapText="1"/>
    </xf>
    <xf numFmtId="0" fontId="108" fillId="67" borderId="36" xfId="1" applyFont="1" applyFill="1" applyBorder="1" applyAlignment="1">
      <alignment horizontal="center" vertical="center" wrapText="1"/>
    </xf>
    <xf numFmtId="0" fontId="108" fillId="67" borderId="0" xfId="1" applyFont="1" applyFill="1" applyBorder="1" applyAlignment="1">
      <alignment horizontal="center" vertical="center" wrapText="1"/>
    </xf>
    <xf numFmtId="0" fontId="108" fillId="67" borderId="38" xfId="1" applyFont="1" applyFill="1" applyBorder="1" applyAlignment="1">
      <alignment horizontal="center" vertical="center" wrapText="1"/>
    </xf>
    <xf numFmtId="0" fontId="108" fillId="67" borderId="26" xfId="1" applyFont="1" applyFill="1" applyBorder="1" applyAlignment="1">
      <alignment horizontal="center" vertical="center" wrapText="1"/>
    </xf>
    <xf numFmtId="0" fontId="108" fillId="68" borderId="29" xfId="1" applyFont="1" applyFill="1" applyBorder="1" applyAlignment="1">
      <alignment horizontal="center" vertical="center" wrapText="1"/>
    </xf>
    <xf numFmtId="0" fontId="108" fillId="68" borderId="30" xfId="1" applyFont="1" applyFill="1" applyBorder="1" applyAlignment="1">
      <alignment horizontal="center" vertical="center" wrapText="1"/>
    </xf>
    <xf numFmtId="0" fontId="108" fillId="68" borderId="32" xfId="1" applyFont="1" applyFill="1" applyBorder="1" applyAlignment="1">
      <alignment horizontal="center" vertical="center" wrapText="1"/>
    </xf>
    <xf numFmtId="0" fontId="107" fillId="40" borderId="21" xfId="1" applyFont="1" applyFill="1" applyBorder="1" applyAlignment="1">
      <alignment horizontal="center" vertical="center" wrapText="1"/>
    </xf>
    <xf numFmtId="0" fontId="107" fillId="40" borderId="10" xfId="1" applyFont="1" applyFill="1" applyBorder="1" applyAlignment="1">
      <alignment horizontal="center" vertical="center" wrapText="1"/>
    </xf>
    <xf numFmtId="0" fontId="107" fillId="40" borderId="18" xfId="1" applyFont="1" applyFill="1" applyBorder="1" applyAlignment="1">
      <alignment horizontal="center" vertical="center" wrapText="1"/>
    </xf>
    <xf numFmtId="0" fontId="108" fillId="67" borderId="29" xfId="1" applyFont="1" applyFill="1" applyBorder="1" applyAlignment="1">
      <alignment horizontal="center" vertical="center" wrapText="1"/>
    </xf>
    <xf numFmtId="0" fontId="108" fillId="67" borderId="32" xfId="1" applyFont="1" applyFill="1" applyBorder="1" applyAlignment="1">
      <alignment horizontal="center" vertical="center" wrapText="1"/>
    </xf>
    <xf numFmtId="0" fontId="31" fillId="67" borderId="29" xfId="1" applyFont="1" applyFill="1" applyBorder="1" applyAlignment="1">
      <alignment horizontal="center" vertical="center" wrapText="1"/>
    </xf>
    <xf numFmtId="0" fontId="31" fillId="67" borderId="32" xfId="1" applyFont="1" applyFill="1" applyBorder="1" applyAlignment="1">
      <alignment horizontal="center" vertical="center" wrapText="1"/>
    </xf>
    <xf numFmtId="0" fontId="31" fillId="33" borderId="21" xfId="1" applyFont="1" applyFill="1" applyBorder="1" applyAlignment="1">
      <alignment horizontal="center" vertical="center" wrapText="1"/>
    </xf>
    <xf numFmtId="0" fontId="31" fillId="33" borderId="10" xfId="1" applyFont="1" applyFill="1" applyBorder="1" applyAlignment="1">
      <alignment horizontal="center" vertical="center" wrapText="1"/>
    </xf>
    <xf numFmtId="0" fontId="31" fillId="33" borderId="18" xfId="1" applyFont="1" applyFill="1" applyBorder="1" applyAlignment="1">
      <alignment horizontal="center" vertical="center" wrapText="1"/>
    </xf>
    <xf numFmtId="175" fontId="106" fillId="45" borderId="43" xfId="1" applyNumberFormat="1" applyFont="1" applyFill="1" applyBorder="1" applyAlignment="1">
      <alignment horizontal="center"/>
    </xf>
    <xf numFmtId="175" fontId="106" fillId="45" borderId="106" xfId="1" applyNumberFormat="1" applyFont="1" applyFill="1" applyBorder="1" applyAlignment="1">
      <alignment horizontal="center"/>
    </xf>
    <xf numFmtId="175" fontId="106" fillId="45" borderId="44" xfId="1" applyNumberFormat="1" applyFont="1" applyFill="1" applyBorder="1" applyAlignment="1">
      <alignment horizontal="center"/>
    </xf>
    <xf numFmtId="175" fontId="89" fillId="0" borderId="104" xfId="1" applyNumberFormat="1" applyFont="1" applyFill="1" applyBorder="1" applyAlignment="1">
      <alignment horizontal="center"/>
    </xf>
    <xf numFmtId="175" fontId="89" fillId="0" borderId="103" xfId="1" applyNumberFormat="1" applyFont="1" applyFill="1" applyBorder="1" applyAlignment="1">
      <alignment horizontal="center"/>
    </xf>
    <xf numFmtId="175" fontId="89" fillId="0" borderId="48" xfId="1" applyNumberFormat="1" applyFont="1" applyFill="1" applyBorder="1" applyAlignment="1">
      <alignment horizontal="center"/>
    </xf>
    <xf numFmtId="0" fontId="105" fillId="45" borderId="21" xfId="1" applyFont="1" applyFill="1" applyBorder="1" applyAlignment="1">
      <alignment horizontal="center" vertical="center"/>
    </xf>
    <xf numFmtId="0" fontId="105" fillId="45" borderId="10" xfId="1" applyFont="1" applyFill="1" applyBorder="1" applyAlignment="1">
      <alignment horizontal="center" vertical="center"/>
    </xf>
    <xf numFmtId="0" fontId="105" fillId="45" borderId="18" xfId="1" applyFont="1" applyFill="1" applyBorder="1" applyAlignment="1">
      <alignment horizontal="center" vertical="center"/>
    </xf>
    <xf numFmtId="0" fontId="99" fillId="33" borderId="0" xfId="1" applyFont="1" applyFill="1" applyAlignment="1">
      <alignment horizontal="center" vertical="center" wrapText="1"/>
    </xf>
    <xf numFmtId="0" fontId="30" fillId="33" borderId="21" xfId="1" applyFont="1" applyFill="1" applyBorder="1" applyAlignment="1">
      <alignment horizontal="center" vertical="center"/>
    </xf>
    <xf numFmtId="0" fontId="30" fillId="33" borderId="10" xfId="1" applyFont="1" applyFill="1" applyBorder="1" applyAlignment="1">
      <alignment horizontal="center" vertical="center"/>
    </xf>
    <xf numFmtId="0" fontId="30" fillId="33" borderId="18" xfId="1" applyFont="1" applyFill="1" applyBorder="1" applyAlignment="1">
      <alignment horizontal="center" vertical="center"/>
    </xf>
    <xf numFmtId="0" fontId="30" fillId="33" borderId="36" xfId="1" applyFont="1" applyFill="1" applyBorder="1" applyAlignment="1">
      <alignment horizontal="left" vertical="top" wrapText="1"/>
    </xf>
    <xf numFmtId="0" fontId="30" fillId="33" borderId="0" xfId="1" applyFont="1" applyFill="1" applyBorder="1" applyAlignment="1">
      <alignment horizontal="left" vertical="top" wrapText="1"/>
    </xf>
    <xf numFmtId="0" fontId="30" fillId="33" borderId="19" xfId="1" applyFont="1" applyFill="1" applyBorder="1" applyAlignment="1">
      <alignment horizontal="left" vertical="top" wrapText="1"/>
    </xf>
    <xf numFmtId="0" fontId="30" fillId="33" borderId="38" xfId="1" applyFont="1" applyFill="1" applyBorder="1" applyAlignment="1">
      <alignment horizontal="left" vertical="top" wrapText="1"/>
    </xf>
    <xf numFmtId="0" fontId="30" fillId="33" borderId="26" xfId="1" applyFont="1" applyFill="1" applyBorder="1" applyAlignment="1">
      <alignment horizontal="left" vertical="top" wrapText="1"/>
    </xf>
    <xf numFmtId="0" fontId="30" fillId="33" borderId="28" xfId="1" applyFont="1" applyFill="1" applyBorder="1" applyAlignment="1">
      <alignment horizontal="left" vertical="top" wrapText="1"/>
    </xf>
    <xf numFmtId="0" fontId="30" fillId="33" borderId="33" xfId="1" applyFont="1" applyFill="1" applyBorder="1" applyAlignment="1">
      <alignment horizontal="center" vertical="center" wrapText="1"/>
    </xf>
    <xf numFmtId="0" fontId="30" fillId="33" borderId="34" xfId="1" applyFont="1" applyFill="1" applyBorder="1" applyAlignment="1">
      <alignment horizontal="center" vertical="center" wrapText="1"/>
    </xf>
    <xf numFmtId="0" fontId="30" fillId="33" borderId="27" xfId="1" applyFont="1" applyFill="1" applyBorder="1" applyAlignment="1">
      <alignment horizontal="center" vertical="center" wrapText="1"/>
    </xf>
    <xf numFmtId="0" fontId="30" fillId="33" borderId="36" xfId="1" applyFont="1" applyFill="1" applyBorder="1" applyAlignment="1">
      <alignment horizontal="center" vertical="center" wrapText="1"/>
    </xf>
    <xf numFmtId="0" fontId="30" fillId="33" borderId="0" xfId="1" applyFont="1" applyFill="1" applyBorder="1" applyAlignment="1">
      <alignment horizontal="center" vertical="center" wrapText="1"/>
    </xf>
    <xf numFmtId="0" fontId="30" fillId="33" borderId="19" xfId="1" applyFont="1" applyFill="1" applyBorder="1" applyAlignment="1">
      <alignment horizontal="center" vertical="center" wrapText="1"/>
    </xf>
    <xf numFmtId="0" fontId="30" fillId="33" borderId="38" xfId="1" applyFont="1" applyFill="1" applyBorder="1" applyAlignment="1">
      <alignment horizontal="center" vertical="center" wrapText="1"/>
    </xf>
    <xf numFmtId="0" fontId="30" fillId="33" borderId="26" xfId="1" applyFont="1" applyFill="1" applyBorder="1" applyAlignment="1">
      <alignment horizontal="center" vertical="center" wrapText="1"/>
    </xf>
    <xf numFmtId="0" fontId="30" fillId="33" borderId="28" xfId="1" applyFont="1" applyFill="1" applyBorder="1" applyAlignment="1">
      <alignment horizontal="center" vertical="center" wrapText="1"/>
    </xf>
    <xf numFmtId="0" fontId="31" fillId="0" borderId="21" xfId="1" applyFont="1" applyBorder="1" applyAlignment="1">
      <alignment horizontal="center"/>
    </xf>
    <xf numFmtId="0" fontId="31" fillId="0" borderId="18" xfId="1" applyFont="1" applyBorder="1" applyAlignment="1">
      <alignment horizontal="center"/>
    </xf>
    <xf numFmtId="0" fontId="31" fillId="0" borderId="10" xfId="1" applyFont="1" applyBorder="1" applyAlignment="1">
      <alignment horizontal="center"/>
    </xf>
    <xf numFmtId="0" fontId="104" fillId="33" borderId="38" xfId="130" applyFont="1" applyFill="1" applyBorder="1" applyAlignment="1">
      <alignment horizontal="center"/>
    </xf>
    <xf numFmtId="0" fontId="104" fillId="33" borderId="26" xfId="130" applyFont="1" applyFill="1" applyBorder="1" applyAlignment="1">
      <alignment horizontal="center"/>
    </xf>
    <xf numFmtId="0" fontId="104" fillId="33" borderId="28" xfId="130" applyFont="1" applyFill="1" applyBorder="1" applyAlignment="1">
      <alignment horizontal="center"/>
    </xf>
    <xf numFmtId="0" fontId="1" fillId="33" borderId="21" xfId="1" applyFont="1" applyFill="1" applyBorder="1" applyAlignment="1">
      <alignment horizontal="center"/>
    </xf>
    <xf numFmtId="0" fontId="1" fillId="33" borderId="10" xfId="1" applyFont="1" applyFill="1" applyBorder="1" applyAlignment="1">
      <alignment horizontal="center"/>
    </xf>
    <xf numFmtId="0" fontId="78" fillId="33" borderId="33" xfId="0" applyFont="1" applyFill="1" applyBorder="1" applyAlignment="1">
      <alignment horizontal="center"/>
    </xf>
    <xf numFmtId="0" fontId="78" fillId="33" borderId="34" xfId="0" applyFont="1" applyFill="1" applyBorder="1" applyAlignment="1">
      <alignment horizontal="center"/>
    </xf>
  </cellXfs>
  <cellStyles count="131">
    <cellStyle name="20% - Accent1" xfId="20" builtinId="30" customBuiltin="1"/>
    <cellStyle name="20% - Accent2" xfId="24" builtinId="34" customBuiltin="1"/>
    <cellStyle name="20% - Accent2 2" xfId="123"/>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Bad 2" xfId="44"/>
    <cellStyle name="Calc Currency (0)" xfId="46"/>
    <cellStyle name="Calculation" xfId="12" builtinId="22" customBuiltin="1"/>
    <cellStyle name="Check Cell" xfId="14" builtinId="23" customBuiltin="1"/>
    <cellStyle name="Comma" xfId="68" builtinId="3"/>
    <cellStyle name="Comma 2" xfId="47"/>
    <cellStyle name="Comma 2 2" xfId="70"/>
    <cellStyle name="Comma 3" xfId="120"/>
    <cellStyle name="Comma 4" xfId="76"/>
    <cellStyle name="Currency" xfId="72" builtinId="4"/>
    <cellStyle name="Currency 2" xfId="45"/>
    <cellStyle name="Currency 2 2" xfId="73"/>
    <cellStyle name="Currency 3" xfId="48"/>
    <cellStyle name="Currency 4" xfId="49"/>
    <cellStyle name="Currency 5" xfId="50"/>
    <cellStyle name="Currency 6" xfId="51"/>
    <cellStyle name="Currency 6 2" xfId="74"/>
    <cellStyle name="Currency 7" xfId="52"/>
    <cellStyle name="Currency 8" xfId="77"/>
    <cellStyle name="Explanatory Text" xfId="17" builtinId="53" customBuiltin="1"/>
    <cellStyle name="Good" xfId="7" builtinId="26" customBuiltin="1"/>
    <cellStyle name="Good 2" xfId="124"/>
    <cellStyle name="Header1" xfId="53"/>
    <cellStyle name="Header2" xfId="54"/>
    <cellStyle name="Heading 1" xfId="3" builtinId="16" customBuiltin="1"/>
    <cellStyle name="Heading 2" xfId="4" builtinId="17" customBuiltin="1"/>
    <cellStyle name="Heading 3" xfId="5" builtinId="18" customBuiltin="1"/>
    <cellStyle name="Heading 4" xfId="6" builtinId="19" customBuiltin="1"/>
    <cellStyle name="Hyperlink" xfId="71" builtinId="8"/>
    <cellStyle name="Hyperlink 2" xfId="55"/>
    <cellStyle name="Hyperlink 3" xfId="130"/>
    <cellStyle name="Input" xfId="10" builtinId="20" customBuiltin="1"/>
    <cellStyle name="Linked Cell" xfId="13" builtinId="24" customBuiltin="1"/>
    <cellStyle name="Neutral" xfId="9" builtinId="28" customBuiltin="1"/>
    <cellStyle name="Normal" xfId="0" builtinId="0"/>
    <cellStyle name="Normal 10" xfId="80"/>
    <cellStyle name="Normal 11" xfId="81"/>
    <cellStyle name="Normal 12" xfId="82"/>
    <cellStyle name="Normal 13" xfId="83"/>
    <cellStyle name="Normal 14" xfId="84"/>
    <cellStyle name="Normal 15" xfId="85"/>
    <cellStyle name="Normal 16" xfId="86"/>
    <cellStyle name="Normal 17" xfId="87"/>
    <cellStyle name="Normal 18" xfId="88"/>
    <cellStyle name="Normal 19" xfId="89"/>
    <cellStyle name="Normal 2" xfId="43"/>
    <cellStyle name="Normal 2 2" xfId="1"/>
    <cellStyle name="Normal 2 2 2" xfId="90"/>
    <cellStyle name="Normal 2 3" xfId="56"/>
    <cellStyle name="Normal 2 4" xfId="57"/>
    <cellStyle name="Normal 2 5" xfId="69"/>
    <cellStyle name="Normal 2 6" xfId="127"/>
    <cellStyle name="Normal 20" xfId="91"/>
    <cellStyle name="Normal 21" xfId="119"/>
    <cellStyle name="Normal 22" xfId="92"/>
    <cellStyle name="Normal 23" xfId="93"/>
    <cellStyle name="Normal 24" xfId="94"/>
    <cellStyle name="Normal 25" xfId="95"/>
    <cellStyle name="Normal 26" xfId="96"/>
    <cellStyle name="Normal 27" xfId="97"/>
    <cellStyle name="Normal 28" xfId="98"/>
    <cellStyle name="Normal 29" xfId="99"/>
    <cellStyle name="Normal 3" xfId="58"/>
    <cellStyle name="Normal 3 2" xfId="79"/>
    <cellStyle name="Normal 30" xfId="100"/>
    <cellStyle name="Normal 31" xfId="101"/>
    <cellStyle name="Normal 32" xfId="102"/>
    <cellStyle name="Normal 33" xfId="103"/>
    <cellStyle name="Normal 34" xfId="104"/>
    <cellStyle name="Normal 35" xfId="105"/>
    <cellStyle name="Normal 36" xfId="106"/>
    <cellStyle name="Normal 37" xfId="107"/>
    <cellStyle name="Normal 38" xfId="108"/>
    <cellStyle name="Normal 39" xfId="109"/>
    <cellStyle name="Normal 4" xfId="59"/>
    <cellStyle name="Normal 4 2" xfId="129"/>
    <cellStyle name="Normal 40" xfId="110"/>
    <cellStyle name="Normal 41" xfId="111"/>
    <cellStyle name="Normal 42" xfId="112"/>
    <cellStyle name="Normal 43" xfId="113"/>
    <cellStyle name="Normal 44" xfId="125"/>
    <cellStyle name="Normal 45" xfId="126"/>
    <cellStyle name="Normal 5" xfId="60"/>
    <cellStyle name="Normal 5 2" xfId="61"/>
    <cellStyle name="Normal 5 3" xfId="114"/>
    <cellStyle name="Normal 6" xfId="62"/>
    <cellStyle name="Normal 6 2" xfId="115"/>
    <cellStyle name="Normal 7" xfId="63"/>
    <cellStyle name="Normal 7 2" xfId="116"/>
    <cellStyle name="Normal 8" xfId="67"/>
    <cellStyle name="Normal 8 2" xfId="75"/>
    <cellStyle name="Normal 8 3" xfId="117"/>
    <cellStyle name="Normal 9" xfId="118"/>
    <cellStyle name="Normal_Sheet1_1" xfId="128"/>
    <cellStyle name="Note" xfId="16" builtinId="10" customBuiltin="1"/>
    <cellStyle name="Output" xfId="11" builtinId="21" customBuiltin="1"/>
    <cellStyle name="Percent 2" xfId="78"/>
    <cellStyle name="Percent 3" xfId="121"/>
    <cellStyle name="Percent 4" xfId="64"/>
    <cellStyle name="Percent 5" xfId="122"/>
    <cellStyle name="Percent 6" xfId="65"/>
    <cellStyle name="Percent 7" xfId="66"/>
    <cellStyle name="Title" xfId="2" builtinId="15" customBuiltin="1"/>
    <cellStyle name="Total" xfId="18" builtinId="25" customBuiltin="1"/>
    <cellStyle name="Warning Text" xfId="15" builtinId="11" customBuiltin="1"/>
  </cellStyles>
  <dxfs count="0"/>
  <tableStyles count="0" defaultTableStyle="TableStyleMedium2" defaultPivotStyle="PivotStyleMedium9"/>
  <colors>
    <mruColors>
      <color rgb="FFC0C0C0"/>
      <color rgb="FFDDDDDD"/>
      <color rgb="FFFFFF66"/>
      <color rgb="FF0099CC"/>
      <color rgb="FF99CCFF"/>
      <color rgb="FFFFFF8B"/>
      <color rgb="FFFFFF69"/>
      <color rgb="FFFFFFCC"/>
      <color rgb="FFF0FE6E"/>
      <color rgb="FFFFFF4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SG"/>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AU"/>
              <a:t>A&amp;D Components Split out</a:t>
            </a:r>
          </a:p>
        </c:rich>
      </c:tx>
      <c:overlay val="0"/>
    </c:title>
    <c:autoTitleDeleted val="0"/>
    <c:plotArea>
      <c:layout/>
      <c:pieChart>
        <c:varyColors val="1"/>
        <c:ser>
          <c:idx val="0"/>
          <c:order val="0"/>
          <c:dLbls>
            <c:showLegendKey val="0"/>
            <c:showVal val="0"/>
            <c:showCatName val="0"/>
            <c:showSerName val="0"/>
            <c:showPercent val="1"/>
            <c:showBubbleSize val="0"/>
            <c:showLeaderLines val="0"/>
          </c:dLbls>
          <c:cat>
            <c:strRef>
              <c:f>PEM_Summary_Temp!$AE$14:$AE$20</c:f>
              <c:strCache>
                <c:ptCount val="7"/>
                <c:pt idx="0">
                  <c:v>Banner Terms</c:v>
                </c:pt>
                <c:pt idx="1">
                  <c:v>Standard Terms</c:v>
                </c:pt>
                <c:pt idx="2">
                  <c:v>Additional Terms</c:v>
                </c:pt>
                <c:pt idx="3">
                  <c:v>KWI</c:v>
                </c:pt>
                <c:pt idx="4">
                  <c:v>COP Rebate</c:v>
                </c:pt>
                <c:pt idx="5">
                  <c:v>QA3</c:v>
                </c:pt>
                <c:pt idx="6">
                  <c:v>COOP</c:v>
                </c:pt>
              </c:strCache>
            </c:strRef>
          </c:cat>
          <c:val>
            <c:numRef>
              <c:f>PEM_Summary_Temp!$AF$14:$AF$20</c:f>
              <c:numCache>
                <c:formatCode>_(* #,##0_);_(* \(#,##0\);_(* "-"??_);_(@_)</c:formatCode>
                <c:ptCount val="7"/>
                <c:pt idx="0">
                  <c:v>0</c:v>
                </c:pt>
                <c:pt idx="1">
                  <c:v>0</c:v>
                </c:pt>
                <c:pt idx="2">
                  <c:v>0</c:v>
                </c:pt>
                <c:pt idx="3">
                  <c:v>0</c:v>
                </c:pt>
                <c:pt idx="4">
                  <c:v>0</c:v>
                </c:pt>
                <c:pt idx="5">
                  <c:v>0</c:v>
                </c:pt>
                <c:pt idx="6">
                  <c:v>0</c:v>
                </c:pt>
              </c:numCache>
            </c:numRef>
          </c:val>
        </c:ser>
        <c:dLbls>
          <c:showLegendKey val="0"/>
          <c:showVal val="0"/>
          <c:showCatName val="1"/>
          <c:showSerName val="0"/>
          <c:showPercent val="1"/>
          <c:showBubbleSize val="0"/>
          <c:showLeaderLines val="0"/>
        </c:dLbls>
        <c:firstSliceAng val="0"/>
      </c:pieChart>
    </c:plotArea>
    <c:legend>
      <c:legendPos val="r"/>
      <c:overlay val="1"/>
      <c:txPr>
        <a:bodyPr/>
        <a:lstStyle/>
        <a:p>
          <a:pPr rtl="0">
            <a:defRPr/>
          </a:pPr>
          <a:endParaRPr lang="en-US"/>
        </a:p>
      </c:txPr>
    </c:legend>
    <c:plotVisOnly val="1"/>
    <c:dispBlanksAs val="gap"/>
    <c:showDLblsOverMax val="0"/>
  </c:chart>
  <c:printSettings>
    <c:headerFooter/>
    <c:pageMargins b="0.750000000000004" l="0.70000000000000062" r="0.70000000000000062" t="0.750000000000004"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SG"/>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AU"/>
              <a:t>CM Breakdown</a:t>
            </a:r>
          </a:p>
        </c:rich>
      </c:tx>
      <c:overlay val="0"/>
    </c:title>
    <c:autoTitleDeleted val="0"/>
    <c:plotArea>
      <c:layout/>
      <c:pieChart>
        <c:varyColors val="1"/>
        <c:ser>
          <c:idx val="0"/>
          <c:order val="0"/>
          <c:dLbls>
            <c:showLegendKey val="0"/>
            <c:showVal val="0"/>
            <c:showCatName val="0"/>
            <c:showSerName val="0"/>
            <c:showPercent val="1"/>
            <c:showBubbleSize val="0"/>
            <c:showLeaderLines val="0"/>
          </c:dLbls>
          <c:cat>
            <c:numRef>
              <c:f>PEM_Summary_Temp!$AE$23:$AE$28</c:f>
              <c:numCache>
                <c:formatCode>General</c:formatCode>
                <c:ptCount val="6"/>
              </c:numCache>
            </c:numRef>
          </c:cat>
          <c:val>
            <c:numRef>
              <c:f>PEM_Summary_Temp!$AF$23:$AF$28</c:f>
              <c:numCache>
                <c:formatCode>General</c:formatCode>
                <c:ptCount val="6"/>
              </c:numCache>
            </c:numRef>
          </c:val>
        </c:ser>
        <c:dLbls>
          <c:showLegendKey val="0"/>
          <c:showVal val="0"/>
          <c:showCatName val="1"/>
          <c:showSerName val="0"/>
          <c:showPercent val="1"/>
          <c:showBubbleSize val="0"/>
          <c:showLeaderLines val="0"/>
        </c:dLbls>
        <c:firstSliceAng val="0"/>
      </c:pieChart>
    </c:plotArea>
    <c:legend>
      <c:legendPos val="r"/>
      <c:overlay val="1"/>
      <c:txPr>
        <a:bodyPr/>
        <a:lstStyle/>
        <a:p>
          <a:pPr rtl="0">
            <a:defRPr/>
          </a:pPr>
          <a:endParaRPr lang="en-US"/>
        </a:p>
      </c:txPr>
    </c:legend>
    <c:plotVisOnly val="1"/>
    <c:dispBlanksAs val="gap"/>
    <c:showDLblsOverMax val="0"/>
  </c:chart>
  <c:printSettings>
    <c:headerFooter/>
    <c:pageMargins b="0.750000000000004" l="0.70000000000000062" r="0.70000000000000062" t="0.750000000000004"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2</xdr:row>
          <xdr:rowOff>76200</xdr:rowOff>
        </xdr:from>
        <xdr:to>
          <xdr:col>4</xdr:col>
          <xdr:colOff>438150</xdr:colOff>
          <xdr:row>5</xdr:row>
          <xdr:rowOff>114300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On Premise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200025</xdr:colOff>
          <xdr:row>0</xdr:row>
          <xdr:rowOff>161925</xdr:rowOff>
        </xdr:from>
        <xdr:to>
          <xdr:col>8</xdr:col>
          <xdr:colOff>152400</xdr:colOff>
          <xdr:row>2</xdr:row>
          <xdr:rowOff>28575</xdr:rowOff>
        </xdr:to>
        <xdr:sp macro="" textlink="">
          <xdr:nvSpPr>
            <xdr:cNvPr id="20481" name="ComboBox1" hidden="1">
              <a:extLst>
                <a:ext uri="{63B3BB69-23CF-44E3-9099-C40C66FF867C}">
                  <a14:compatExt spid="_x0000_s204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0</xdr:row>
          <xdr:rowOff>171450</xdr:rowOff>
        </xdr:from>
        <xdr:to>
          <xdr:col>4</xdr:col>
          <xdr:colOff>95250</xdr:colOff>
          <xdr:row>2</xdr:row>
          <xdr:rowOff>19050</xdr:rowOff>
        </xdr:to>
        <xdr:sp macro="" textlink="">
          <xdr:nvSpPr>
            <xdr:cNvPr id="20482" name="Label1"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0</xdr:row>
          <xdr:rowOff>161925</xdr:rowOff>
        </xdr:from>
        <xdr:to>
          <xdr:col>15</xdr:col>
          <xdr:colOff>57150</xdr:colOff>
          <xdr:row>2</xdr:row>
          <xdr:rowOff>28575</xdr:rowOff>
        </xdr:to>
        <xdr:sp macro="" textlink="">
          <xdr:nvSpPr>
            <xdr:cNvPr id="20483" name="ComboBox2"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0</xdr:row>
          <xdr:rowOff>180975</xdr:rowOff>
        </xdr:from>
        <xdr:to>
          <xdr:col>11</xdr:col>
          <xdr:colOff>95250</xdr:colOff>
          <xdr:row>2</xdr:row>
          <xdr:rowOff>47625</xdr:rowOff>
        </xdr:to>
        <xdr:sp macro="" textlink="">
          <xdr:nvSpPr>
            <xdr:cNvPr id="20484" name="Label2" hidden="1">
              <a:extLst>
                <a:ext uri="{63B3BB69-23CF-44E3-9099-C40C66FF867C}">
                  <a14:compatExt spid="_x0000_s204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0</xdr:row>
          <xdr:rowOff>85725</xdr:rowOff>
        </xdr:from>
        <xdr:to>
          <xdr:col>2</xdr:col>
          <xdr:colOff>419100</xdr:colOff>
          <xdr:row>2</xdr:row>
          <xdr:rowOff>47625</xdr:rowOff>
        </xdr:to>
        <xdr:sp macro="" textlink="">
          <xdr:nvSpPr>
            <xdr:cNvPr id="20485" name="CommandButton1" hidden="1">
              <a:extLst>
                <a:ext uri="{63B3BB69-23CF-44E3-9099-C40C66FF867C}">
                  <a14:compatExt spid="_x0000_s2048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87456</xdr:rowOff>
    </xdr:from>
    <xdr:to>
      <xdr:col>1</xdr:col>
      <xdr:colOff>3344421</xdr:colOff>
      <xdr:row>4</xdr:row>
      <xdr:rowOff>111730</xdr:rowOff>
    </xdr:to>
    <xdr:pic>
      <xdr:nvPicPr>
        <xdr:cNvPr id="2" name="Picture 5" descr="PRP_Australia_logo"/>
        <xdr:cNvPicPr>
          <a:picLocks noChangeAspect="1" noChangeArrowheads="1"/>
        </xdr:cNvPicPr>
      </xdr:nvPicPr>
      <xdr:blipFill>
        <a:blip xmlns:r="http://schemas.openxmlformats.org/officeDocument/2006/relationships" r:embed="rId1" cstate="print"/>
        <a:srcRect/>
        <a:stretch>
          <a:fillRect/>
        </a:stretch>
      </xdr:blipFill>
      <xdr:spPr bwMode="auto">
        <a:xfrm>
          <a:off x="0" y="87456"/>
          <a:ext cx="4019830" cy="106336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0</xdr:row>
      <xdr:rowOff>104775</xdr:rowOff>
    </xdr:from>
    <xdr:to>
      <xdr:col>2</xdr:col>
      <xdr:colOff>109383</xdr:colOff>
      <xdr:row>4</xdr:row>
      <xdr:rowOff>129049</xdr:rowOff>
    </xdr:to>
    <xdr:pic>
      <xdr:nvPicPr>
        <xdr:cNvPr id="2" name="Picture 5" descr="PRP_Australia_logo"/>
        <xdr:cNvPicPr>
          <a:picLocks noChangeAspect="1" noChangeArrowheads="1"/>
        </xdr:cNvPicPr>
      </xdr:nvPicPr>
      <xdr:blipFill>
        <a:blip xmlns:r="http://schemas.openxmlformats.org/officeDocument/2006/relationships" r:embed="rId1" cstate="print"/>
        <a:srcRect/>
        <a:stretch>
          <a:fillRect/>
        </a:stretch>
      </xdr:blipFill>
      <xdr:spPr bwMode="auto">
        <a:xfrm>
          <a:off x="2743200" y="104775"/>
          <a:ext cx="4014633" cy="1062499"/>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0</xdr:colOff>
          <xdr:row>3</xdr:row>
          <xdr:rowOff>228600</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64008" tIns="68580" rIns="64008" bIns="68580" anchor="ctr" upright="1"/>
            <a:lstStyle/>
            <a:p>
              <a:pPr algn="ctr" rtl="0">
                <a:defRPr sz="1000"/>
              </a:pPr>
              <a:r>
                <a:rPr lang="en-SG" sz="3600" b="1" i="0" u="none" strike="noStrike" baseline="0">
                  <a:solidFill>
                    <a:srgbClr val="000000"/>
                  </a:solidFill>
                  <a:latin typeface="Calibri"/>
                </a:rPr>
                <a:t>EMAIL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544286</xdr:colOff>
      <xdr:row>4</xdr:row>
      <xdr:rowOff>13608</xdr:rowOff>
    </xdr:from>
    <xdr:to>
      <xdr:col>19</xdr:col>
      <xdr:colOff>111949</xdr:colOff>
      <xdr:row>23</xdr:row>
      <xdr:rowOff>40615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544286</xdr:colOff>
      <xdr:row>23</xdr:row>
      <xdr:rowOff>176893</xdr:rowOff>
    </xdr:from>
    <xdr:to>
      <xdr:col>19</xdr:col>
      <xdr:colOff>111949</xdr:colOff>
      <xdr:row>42</xdr:row>
      <xdr:rowOff>108649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tzoulp/Desktop/NSW%20Hierarchy%202012120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immy/Library/Mail%20Downloads/Sandhill%20Road%20Group%20April%2020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OOP%20GUI%20-%20v.1.1.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Public/Documents/Projects/AUS%20Promotion/Promotion%20Project%20-%20v.2.2.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SW Hierarchy at 04_12_12"/>
      <sheetName val="CLB + Owners"/>
      <sheetName val="NSW Hierarchy + Owners"/>
      <sheetName val="Sheet1"/>
      <sheetName val="Sheet2"/>
    </sheetNames>
    <sheetDataSet>
      <sheetData sheetId="0" refreshError="1"/>
      <sheetData sheetId="1" refreshError="1">
        <row r="3">
          <cell r="A3" t="str">
            <v>Row Labels</v>
          </cell>
          <cell r="B3" t="str">
            <v>CLB GROUP DESC</v>
          </cell>
          <cell r="C3" t="str">
            <v>Owner</v>
          </cell>
        </row>
        <row r="4">
          <cell r="A4" t="str">
            <v>CNAH</v>
          </cell>
          <cell r="B4" t="str">
            <v>NSW OP ACCOM HOTELS</v>
          </cell>
          <cell r="C4" t="str">
            <v>Nick Allardice</v>
          </cell>
        </row>
        <row r="5">
          <cell r="A5" t="str">
            <v>CNAL</v>
          </cell>
          <cell r="B5" t="str">
            <v>NSW VALORES</v>
          </cell>
          <cell r="C5" t="str">
            <v>Andrew Mckay</v>
          </cell>
        </row>
        <row r="6">
          <cell r="A6" t="str">
            <v>CNAR</v>
          </cell>
          <cell r="B6" t="str">
            <v>NSW MARKET CELLARS</v>
          </cell>
          <cell r="C6" t="str">
            <v>Paul Harper</v>
          </cell>
        </row>
        <row r="7">
          <cell r="A7" t="str">
            <v>CNBN</v>
          </cell>
          <cell r="B7" t="str">
            <v>NSW IBA BOTTLE-O NEIGHBOURHOOD</v>
          </cell>
          <cell r="C7" t="str">
            <v>Paul Lambert</v>
          </cell>
        </row>
        <row r="8">
          <cell r="A8" t="str">
            <v>CNBO</v>
          </cell>
          <cell r="B8" t="str">
            <v>NSW IBA BOTTLE-O</v>
          </cell>
          <cell r="C8" t="str">
            <v>Paul Lambert</v>
          </cell>
        </row>
        <row r="9">
          <cell r="A9" t="str">
            <v>CNCL</v>
          </cell>
          <cell r="B9" t="str">
            <v>NSW OP CLUBS</v>
          </cell>
          <cell r="C9" t="str">
            <v>Nick Allardice</v>
          </cell>
        </row>
        <row r="10">
          <cell r="A10" t="str">
            <v>CNES</v>
          </cell>
          <cell r="B10" t="str">
            <v>NSW RETAIL NON GROUP</v>
          </cell>
          <cell r="C10" t="str">
            <v>Paras Nicols</v>
          </cell>
        </row>
        <row r="11">
          <cell r="A11" t="str">
            <v>CNHA</v>
          </cell>
          <cell r="B11" t="str">
            <v>NSW CHAMBERS CELLARS</v>
          </cell>
          <cell r="C11" t="str">
            <v>Paul Lambert</v>
          </cell>
        </row>
        <row r="12">
          <cell r="A12" t="str">
            <v>CNHO</v>
          </cell>
          <cell r="B12" t="str">
            <v>NSW WHOLESALERS</v>
          </cell>
          <cell r="C12" t="str">
            <v>Paras Nicols</v>
          </cell>
        </row>
        <row r="13">
          <cell r="A13" t="str">
            <v>CNIL</v>
          </cell>
          <cell r="B13" t="str">
            <v>NSW INDEPENDENT LIQUOR GROUP</v>
          </cell>
          <cell r="C13" t="str">
            <v>Jo Mckenzie</v>
          </cell>
        </row>
        <row r="14">
          <cell r="A14" t="str">
            <v>CNKL</v>
          </cell>
          <cell r="B14" t="str">
            <v>NSW KEMENYS LIQUOR</v>
          </cell>
          <cell r="C14" t="str">
            <v>Paul Harper</v>
          </cell>
        </row>
        <row r="15">
          <cell r="A15" t="str">
            <v>CNLB</v>
          </cell>
          <cell r="B15" t="str">
            <v>NSW IBA CELLARBRATIONS</v>
          </cell>
          <cell r="C15" t="str">
            <v>Paul Lambert</v>
          </cell>
        </row>
        <row r="16">
          <cell r="A16" t="str">
            <v>CNLF</v>
          </cell>
          <cell r="B16" t="str">
            <v>NSW IBA LIQUORFORCE</v>
          </cell>
          <cell r="C16" t="str">
            <v>Paul Lambert</v>
          </cell>
        </row>
        <row r="17">
          <cell r="A17" t="str">
            <v>CNLG</v>
          </cell>
          <cell r="B17" t="str">
            <v>NSW IBA IGA</v>
          </cell>
          <cell r="C17" t="str">
            <v>Paul Lambert</v>
          </cell>
        </row>
        <row r="18">
          <cell r="A18" t="str">
            <v>CNLL</v>
          </cell>
          <cell r="B18" t="str">
            <v>NSW LIQUOR LEGENDS</v>
          </cell>
          <cell r="C18" t="str">
            <v>Paul Harper</v>
          </cell>
        </row>
        <row r="19">
          <cell r="A19" t="str">
            <v>CNLM</v>
          </cell>
          <cell r="B19" t="str">
            <v>NSW LMG</v>
          </cell>
          <cell r="C19" t="str">
            <v>Paul Harper</v>
          </cell>
        </row>
        <row r="20">
          <cell r="A20" t="str">
            <v>CNLT</v>
          </cell>
          <cell r="B20" t="str">
            <v>NSW IBA CLUB PARTNERS</v>
          </cell>
          <cell r="C20" t="str">
            <v>Paul Lambert</v>
          </cell>
        </row>
        <row r="21">
          <cell r="A21" t="str">
            <v>CNND</v>
          </cell>
          <cell r="B21" t="str">
            <v>NSW INDEPENDENT LOCAL RETAILER</v>
          </cell>
          <cell r="C21" t="str">
            <v>Paul Harper</v>
          </cell>
        </row>
        <row r="22">
          <cell r="A22" t="str">
            <v>CNNN</v>
          </cell>
          <cell r="B22" t="str">
            <v>NSW LA</v>
          </cell>
          <cell r="C22" t="str">
            <v>Paul Lambert</v>
          </cell>
        </row>
        <row r="23">
          <cell r="A23" t="str">
            <v>CNNO</v>
          </cell>
          <cell r="B23" t="str">
            <v>NSW OP NON SERVICED</v>
          </cell>
          <cell r="C23" t="str">
            <v>Nick Allardice</v>
          </cell>
        </row>
        <row r="24">
          <cell r="A24" t="str">
            <v>CNOM</v>
          </cell>
          <cell r="B24" t="str">
            <v>NSW OP GENERAL</v>
          </cell>
          <cell r="C24" t="str">
            <v>Nick Allardice</v>
          </cell>
        </row>
        <row r="25">
          <cell r="A25" t="str">
            <v>CNOR</v>
          </cell>
          <cell r="B25" t="str">
            <v>NSW PORTERS</v>
          </cell>
          <cell r="C25" t="str">
            <v>Jo Mckenzie</v>
          </cell>
        </row>
        <row r="26">
          <cell r="A26" t="str">
            <v>CNRI</v>
          </cell>
          <cell r="B26" t="str">
            <v>NSW IBA IGA RITCHIES</v>
          </cell>
          <cell r="C26" t="str">
            <v>Paul Lambert</v>
          </cell>
        </row>
        <row r="27">
          <cell r="A27" t="str">
            <v>CNSG</v>
          </cell>
          <cell r="B27" t="str">
            <v>NSW OP STRATEGIC</v>
          </cell>
          <cell r="C27" t="str">
            <v>Nick Allardice</v>
          </cell>
        </row>
        <row r="28">
          <cell r="A28" t="str">
            <v>CNSR</v>
          </cell>
          <cell r="B28" t="str">
            <v>NSW OP STATE GROUPS</v>
          </cell>
          <cell r="C28" t="str">
            <v>Nick Allardice</v>
          </cell>
        </row>
        <row r="29">
          <cell r="A29" t="str">
            <v>CNST</v>
          </cell>
          <cell r="B29" t="str">
            <v>NSW LIQUORSTAX</v>
          </cell>
          <cell r="C29" t="str">
            <v>Jo Mckenzie</v>
          </cell>
        </row>
      </sheetData>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napshot"/>
      <sheetName val="Baseline"/>
      <sheetName val="Data"/>
      <sheetName val="COGS_L"/>
    </sheetNames>
    <sheetDataSet>
      <sheetData sheetId="0" refreshError="1"/>
      <sheetData sheetId="1">
        <row r="70">
          <cell r="M70">
            <v>0</v>
          </cell>
        </row>
      </sheetData>
      <sheetData sheetId="2">
        <row r="1">
          <cell r="D1" t="str">
            <v>Description</v>
          </cell>
        </row>
        <row r="3">
          <cell r="D3" t="str">
            <v>100 Pipers 700ml  [12 pack]</v>
          </cell>
        </row>
        <row r="4">
          <cell r="D4" t="str">
            <v>Aberlour 10yo 700ml  [6 pack]</v>
          </cell>
        </row>
        <row r="5">
          <cell r="D5" t="str">
            <v>Aberlour A'Bunadh 700ml 59.6%  [6 pack]</v>
          </cell>
        </row>
        <row r="6">
          <cell r="D6" t="str">
            <v>Aberlour A'Bunadh 700ml 60%  [6 pack]</v>
          </cell>
        </row>
        <row r="7">
          <cell r="D7" t="str">
            <v>ABSOLUT 100 700ml  [6 pack]</v>
          </cell>
        </row>
        <row r="8">
          <cell r="D8" t="str">
            <v>ABSOLUT Apeach 1.0L  [12 pack]</v>
          </cell>
        </row>
        <row r="9">
          <cell r="D9" t="str">
            <v>ABSOLUT Apeach 700ml  [6 pack]</v>
          </cell>
        </row>
        <row r="10">
          <cell r="D10" t="str">
            <v>ABSOLUT Berri Açaí 700ml  [6 pack]</v>
          </cell>
        </row>
        <row r="11">
          <cell r="D11" t="str">
            <v>ABSOLUT Citron 1.0L  [12 pack]</v>
          </cell>
        </row>
        <row r="12">
          <cell r="D12" t="str">
            <v>ABSOLUT Citron 700ml  [6 pack]</v>
          </cell>
        </row>
        <row r="13">
          <cell r="D13" t="str">
            <v>ABSOLUT Collective 700ml  [6 pack]</v>
          </cell>
        </row>
        <row r="14">
          <cell r="D14" t="str">
            <v>ABSOLUT Elyx 700ml  [6 pack]</v>
          </cell>
        </row>
        <row r="15">
          <cell r="D15" t="str">
            <v>ABSOLUT Five 5x50ml  [18 pack]</v>
          </cell>
        </row>
        <row r="16">
          <cell r="D16" t="str">
            <v>ABSOLUT Kurrant 700ml  [6 pack]</v>
          </cell>
        </row>
        <row r="17">
          <cell r="D17" t="str">
            <v>ABSOLUT Mango 1.0L  [12 pack]</v>
          </cell>
        </row>
        <row r="18">
          <cell r="D18" t="str">
            <v>ABSOLUT Pears 1.0L  [12 pack]</v>
          </cell>
        </row>
        <row r="19">
          <cell r="D19" t="str">
            <v>ABSOLUT Pears 700ml  [6 pack]</v>
          </cell>
        </row>
        <row r="20">
          <cell r="D20" t="str">
            <v>ABSOLUT Rasberri 1.0L  [12 pack]</v>
          </cell>
        </row>
        <row r="21">
          <cell r="D21" t="str">
            <v>ABSOLUT Rasberri 700ml  [6 pack]</v>
          </cell>
        </row>
        <row r="22">
          <cell r="D22" t="str">
            <v>ABSOLUT Ruby Red 1.0L  [12 pack]</v>
          </cell>
        </row>
        <row r="23">
          <cell r="D23" t="str">
            <v>ABSOLUT Vanila 1.0L  [12 pack]</v>
          </cell>
        </row>
        <row r="24">
          <cell r="D24" t="str">
            <v>ABSOLUT Vanila 700ml  [6 pack]</v>
          </cell>
        </row>
        <row r="25">
          <cell r="D25" t="str">
            <v>ABSOLUT Vodka 1.0L  [12 pack]</v>
          </cell>
        </row>
        <row r="26">
          <cell r="D26" t="str">
            <v>ABSOLUT Vodka 1.0L  [6 pack]</v>
          </cell>
        </row>
        <row r="27">
          <cell r="D27" t="str">
            <v>ABSOLUT Vodka 200ml  [24 pack]</v>
          </cell>
        </row>
        <row r="28">
          <cell r="D28" t="str">
            <v>ABSOLUT Vodka 500ml  [12 pack]</v>
          </cell>
        </row>
        <row r="29">
          <cell r="D29" t="str">
            <v>ABSOLUT Vodka 50ml  [120 pack]</v>
          </cell>
        </row>
        <row r="30">
          <cell r="D30" t="str">
            <v>ABSOLUT Vodka 700ml  [12 pack]</v>
          </cell>
        </row>
        <row r="31">
          <cell r="D31" t="str">
            <v>ABSOLUT Vodka 700ml  [6 pack]</v>
          </cell>
        </row>
        <row r="32">
          <cell r="D32" t="str">
            <v>ABSOLUT Wild Tea 700ml  [6 pack]</v>
          </cell>
        </row>
        <row r="33">
          <cell r="D33" t="str">
            <v>Aura Rueda Verdejo 750ml  [6 pack]</v>
          </cell>
        </row>
        <row r="34">
          <cell r="D34" t="str">
            <v>Ballantine's 12yo Blue Label 700ml  [12 pack]</v>
          </cell>
        </row>
        <row r="35">
          <cell r="D35" t="str">
            <v>Ballantine's 12yo Blue Label 700ml  [6 pack]</v>
          </cell>
        </row>
        <row r="36">
          <cell r="D36" t="str">
            <v>Ballantine's 17yo 700ml  [6 pack]</v>
          </cell>
        </row>
        <row r="37">
          <cell r="D37" t="str">
            <v>Ballantine's 21yo 700ml  [6 pack]</v>
          </cell>
        </row>
        <row r="38">
          <cell r="D38" t="str">
            <v>Ballantine's 30yo 700ml (TBD)  [12 pack]</v>
          </cell>
        </row>
        <row r="39">
          <cell r="D39" t="str">
            <v>Ballantine's Finest 1.0L  [12 pack]</v>
          </cell>
        </row>
        <row r="40">
          <cell r="D40" t="str">
            <v>Ballantine's Finest 1.0L  [6 pack]</v>
          </cell>
        </row>
        <row r="41">
          <cell r="D41" t="str">
            <v>Ballantine's Finest 50ml  [192 pack]</v>
          </cell>
        </row>
        <row r="42">
          <cell r="D42" t="str">
            <v>Ballantine's Finest 700ml  [6 pack]</v>
          </cell>
        </row>
        <row r="43">
          <cell r="D43" t="str">
            <v>Ballantine's Limited 750ml  [12 pack]</v>
          </cell>
        </row>
        <row r="44">
          <cell r="D44" t="str">
            <v>Ballantine's Malt 700ml  [6 pack]</v>
          </cell>
        </row>
        <row r="45">
          <cell r="D45" t="str">
            <v>Bay Of Stones Chardonnay 750ml  [12 pack]</v>
          </cell>
        </row>
        <row r="46">
          <cell r="D46" t="str">
            <v>Bay Of Stones Merlot 750ml  [12 pack]</v>
          </cell>
        </row>
        <row r="47">
          <cell r="D47" t="str">
            <v>Bay Of Stones Sauvignon Blanc 750ml  [12 pack]</v>
          </cell>
        </row>
        <row r="48">
          <cell r="D48" t="str">
            <v>Bay Of Stones Shiraz 750ml  [12 pack]</v>
          </cell>
        </row>
        <row r="49">
          <cell r="D49" t="str">
            <v>Bay Of Stones Sparkling Chardonnay Pinot 750ml  [6 pack]</v>
          </cell>
        </row>
        <row r="50">
          <cell r="D50" t="str">
            <v>Beefeater (40%) 1.0L  [12 pack]</v>
          </cell>
        </row>
        <row r="51">
          <cell r="D51" t="str">
            <v>Beefeater (40%) 1.0L  [6 pack]</v>
          </cell>
        </row>
        <row r="52">
          <cell r="D52" t="str">
            <v>Beefeater (40%) 700ml  [12 pack]</v>
          </cell>
        </row>
        <row r="53">
          <cell r="D53" t="str">
            <v>Beefeater (40%) 700ml  [6 pack]</v>
          </cell>
        </row>
        <row r="54">
          <cell r="D54" t="str">
            <v>Beefeater 24 1.0L  [6 pack]</v>
          </cell>
        </row>
        <row r="55">
          <cell r="D55" t="str">
            <v>Beefeater 24 700ml  [6 pack]</v>
          </cell>
        </row>
        <row r="56">
          <cell r="D56" t="str">
            <v>Beefeater 50ml  [120 pack]</v>
          </cell>
        </row>
        <row r="57">
          <cell r="D57" t="str">
            <v>Bin 222 Chardonnay 187ml  [24 pack]</v>
          </cell>
        </row>
        <row r="58">
          <cell r="D58" t="str">
            <v>Bin 222 Chardonnay 750ml  [6 pack]</v>
          </cell>
        </row>
        <row r="59">
          <cell r="D59" t="str">
            <v>Bin 333 Pinot Noir 750ml  [6 pack]</v>
          </cell>
        </row>
        <row r="60">
          <cell r="D60" t="str">
            <v>Bin 444 Cabernet Sauvignon 187ml (Delisted)  [24 pack]</v>
          </cell>
        </row>
        <row r="61">
          <cell r="D61" t="str">
            <v>Bin 444 Cabernet Sauvignon 750ml  [6 pack]</v>
          </cell>
        </row>
        <row r="62">
          <cell r="D62" t="str">
            <v>Bin 515 Shiraz Viognier 750ml  [6 pack]</v>
          </cell>
        </row>
        <row r="63">
          <cell r="D63" t="str">
            <v>Bin 555 Shiraz 187ml  [24 pack]</v>
          </cell>
        </row>
        <row r="64">
          <cell r="D64" t="str">
            <v>Bin 555 Shiraz 750ml  [6 pack]</v>
          </cell>
        </row>
        <row r="65">
          <cell r="D65" t="str">
            <v>Bin 555 Sparkling Shiraz 750ml  [6 pack]</v>
          </cell>
        </row>
        <row r="66">
          <cell r="D66" t="str">
            <v>Bin 777 Semillon Sauvignon Blanc 750ml  [6 pack]</v>
          </cell>
        </row>
        <row r="67">
          <cell r="D67" t="str">
            <v>Bin 888 Cabernet Merlot 750ml  [6 pack]</v>
          </cell>
        </row>
        <row r="68">
          <cell r="D68" t="str">
            <v>Bin 999 Merlot 750ml  [6 pack]</v>
          </cell>
        </row>
        <row r="69">
          <cell r="D69" t="str">
            <v>Brancott Letter Series B Sauv Blanc 750ml  [6 pack]</v>
          </cell>
        </row>
        <row r="70">
          <cell r="D70" t="str">
            <v>Brancott Letter Series F Pinot Gris 750ml  [6 pack]</v>
          </cell>
        </row>
        <row r="71">
          <cell r="D71" t="str">
            <v>Brancott Letter Series O Chardonnay 750ml  [6 pack]</v>
          </cell>
        </row>
        <row r="72">
          <cell r="D72" t="str">
            <v>Brancott Letter Series R Sauv Gris 750ml  [6 pack]</v>
          </cell>
        </row>
        <row r="73">
          <cell r="D73" t="str">
            <v>Brancott Letter Series T Pinot Noir 750ml  [6 pack]</v>
          </cell>
        </row>
        <row r="74">
          <cell r="D74" t="str">
            <v>Brancott Living Land Sauv Blanc 750ml  [6 pack]</v>
          </cell>
        </row>
        <row r="75">
          <cell r="D75" t="str">
            <v>Brancott Merlot Cab Sauv 750ml  [6 pack]</v>
          </cell>
        </row>
        <row r="76">
          <cell r="D76" t="str">
            <v>Brancott Pinot Gris 187ml  [24 pack]</v>
          </cell>
        </row>
        <row r="77">
          <cell r="D77" t="str">
            <v>Brancott Pinot Gris 750ml  [6 pack]</v>
          </cell>
        </row>
        <row r="78">
          <cell r="D78" t="str">
            <v>Brancott Pinot Noir 187ml  [24 pack]</v>
          </cell>
        </row>
        <row r="79">
          <cell r="D79" t="str">
            <v>Brancott Pinot Noir 750ml  [6 pack]</v>
          </cell>
        </row>
        <row r="80">
          <cell r="D80" t="str">
            <v>Brancott Sauv Blanc 187ml  [24 pack]</v>
          </cell>
        </row>
        <row r="81">
          <cell r="D81" t="str">
            <v>Brancott Sauv Blanc 750ml  [6 pack]</v>
          </cell>
        </row>
        <row r="82">
          <cell r="D82" t="str">
            <v>Brancott Unoaked Chardonnay 750ml  [6 pack]</v>
          </cell>
        </row>
        <row r="83">
          <cell r="D83" t="str">
            <v>Campo Viejo Brut Reserva 750ml (Kemeney's &amp; Signé Exclusive)  [6 pack]</v>
          </cell>
        </row>
        <row r="84">
          <cell r="D84" t="str">
            <v>Campo Viejo Crianza 750ml (Kemeney's &amp; OP Exclusive)  [6 pack]</v>
          </cell>
        </row>
        <row r="85">
          <cell r="D85" t="str">
            <v>Campo Viejo Reserva 750ml (Kemeney's &amp; OP Exclusive)  [6 pack]</v>
          </cell>
        </row>
        <row r="86">
          <cell r="D86" t="str">
            <v>Carrington Brut Reserve 750ml  [6 pack]</v>
          </cell>
        </row>
        <row r="87">
          <cell r="D87" t="str">
            <v>Carrington Vintage Brut 750ml  [6 pack]</v>
          </cell>
        </row>
        <row r="88">
          <cell r="D88" t="str">
            <v>Centenary Hill Shiraz 1998 750ml (Signé only)  [6 pack]</v>
          </cell>
        </row>
        <row r="89">
          <cell r="D89" t="str">
            <v>Centenary Hill Shiraz 2002 750ml (Signé only)  [6 pack]</v>
          </cell>
        </row>
        <row r="90">
          <cell r="D90" t="str">
            <v>Centenary Hill Shiraz 750ml  [6 pack]</v>
          </cell>
        </row>
        <row r="91">
          <cell r="D91" t="str">
            <v>Chivas Regal 12yo 1.0L  [6 pack]</v>
          </cell>
        </row>
        <row r="92">
          <cell r="D92" t="str">
            <v>Chivas Regal 12yo 200ml  [24 pack]</v>
          </cell>
        </row>
        <row r="93">
          <cell r="D93" t="str">
            <v>Chivas Regal 12yo 4.5L  [1 pack]</v>
          </cell>
        </row>
        <row r="94">
          <cell r="D94" t="str">
            <v>Chivas Regal 12yo 4.5L (TBD)  [2 pack]</v>
          </cell>
        </row>
        <row r="95">
          <cell r="D95" t="str">
            <v>Chivas Regal 12yo 50ml  [120 pack]</v>
          </cell>
        </row>
        <row r="96">
          <cell r="D96" t="str">
            <v>Chivas Regal 12yo 700ml  [12 pack]</v>
          </cell>
        </row>
        <row r="97">
          <cell r="D97" t="str">
            <v>Chivas Regal 12yo 700ml  [6 pack]</v>
          </cell>
        </row>
        <row r="98">
          <cell r="D98" t="str">
            <v>Chivas Regal 18yo 500ml  [6 pack]</v>
          </cell>
        </row>
        <row r="99">
          <cell r="D99" t="str">
            <v>Chivas Regal 18yo 700ml  [6 pack]</v>
          </cell>
        </row>
        <row r="100">
          <cell r="D100" t="str">
            <v>Chivas Regal 25yo 700ml  [3 pack]</v>
          </cell>
        </row>
        <row r="101">
          <cell r="D101" t="str">
            <v>Church Rd Chardonnay 750ml  [6 pack]</v>
          </cell>
        </row>
        <row r="102">
          <cell r="D102" t="str">
            <v>Church Rd Merlot Cab 750ml  [6 pack]</v>
          </cell>
        </row>
        <row r="103">
          <cell r="D103" t="str">
            <v>Church Rd Pinot Gris 750ml  [6 pack]</v>
          </cell>
        </row>
        <row r="104">
          <cell r="D104" t="str">
            <v>Church Rd Reserve Cab Merlot 750ml (Signé only)  [6 pack]</v>
          </cell>
        </row>
        <row r="105">
          <cell r="D105" t="str">
            <v>Church Rd Reserve Chardonnay 750ml (Signé only)  [6 pack]</v>
          </cell>
        </row>
        <row r="106">
          <cell r="D106" t="str">
            <v>Church Rd Tom Cab Sauv Merlot 750ml  [6 pack]</v>
          </cell>
        </row>
        <row r="107">
          <cell r="D107" t="str">
            <v>Church Rd Tom Chardonnay 750ml  [6 pack]</v>
          </cell>
        </row>
        <row r="108">
          <cell r="D108" t="str">
            <v>Cool Harvest Pinot Grigio 750ml  [6 pack]</v>
          </cell>
        </row>
        <row r="109">
          <cell r="D109" t="str">
            <v>Cool Harvest Sauvignon Blanc 750ml  [6 pack]</v>
          </cell>
        </row>
        <row r="110">
          <cell r="D110" t="str">
            <v>Cool Harvest Shiraz Rose 750ml  [6 pack]</v>
          </cell>
        </row>
        <row r="111">
          <cell r="D111" t="str">
            <v>Cool Harvest Sparkling Sauvignon Blanc 750ml  [6 pack]</v>
          </cell>
        </row>
        <row r="112">
          <cell r="D112" t="str">
            <v>Coolabah Cool Dolce Bianco White 4.0L  [4 pack]</v>
          </cell>
        </row>
        <row r="113">
          <cell r="D113" t="str">
            <v>Coolabah Cool Dolce Rosso 4.0L  [4 pack]</v>
          </cell>
        </row>
        <row r="114">
          <cell r="D114" t="str">
            <v>Coolabah Crisp Dry White 4.0L  [4 pack]</v>
          </cell>
        </row>
        <row r="115">
          <cell r="D115" t="str">
            <v>Coolabah Dry Red 4.0L  [4 pack]</v>
          </cell>
        </row>
        <row r="116">
          <cell r="D116" t="str">
            <v>Coolabah Fresh Dry White 4.0L  [4 pack]</v>
          </cell>
        </row>
        <row r="117">
          <cell r="D117" t="str">
            <v>Coolabah Rose 4.0L  [4 pack]</v>
          </cell>
        </row>
        <row r="118">
          <cell r="D118" t="str">
            <v>Coolabah Soft Dry White 4.0L (TBD)  [4 pack]</v>
          </cell>
        </row>
        <row r="119">
          <cell r="D119" t="str">
            <v>Coolabah Soft Fruity White 4L  [4 pack]</v>
          </cell>
        </row>
        <row r="120">
          <cell r="D120" t="str">
            <v>Coolabah Steinwein 4.0L (TBD)  [4 pack]</v>
          </cell>
        </row>
        <row r="121">
          <cell r="D121" t="str">
            <v>Coolabah Sweet Fruity White 4.0L (Fruity Lexia)  [4 pack]</v>
          </cell>
        </row>
        <row r="122">
          <cell r="D122" t="str">
            <v>Deutz Marlborough Blanc De Blanc 750ml (TBD)  [6 pack]</v>
          </cell>
        </row>
        <row r="123">
          <cell r="D123" t="str">
            <v>Deutz Marlborough Cuvee 200ml  [24 pack]</v>
          </cell>
        </row>
        <row r="124">
          <cell r="D124" t="str">
            <v>Deutz Marlborough Cuvee 750ml  [6 pack]</v>
          </cell>
        </row>
        <row r="125">
          <cell r="D125" t="str">
            <v>Deutz Sparkling Rose 750ml  [6 pack]</v>
          </cell>
        </row>
        <row r="126">
          <cell r="D126" t="str">
            <v>Dubonnet Rouge 750ml  [6 pack]</v>
          </cell>
        </row>
        <row r="127">
          <cell r="D127" t="str">
            <v>George Wyndham Cabernet Merlot 750ml  [6 pack]</v>
          </cell>
        </row>
        <row r="128">
          <cell r="D128" t="str">
            <v>George Wyndham Semillon Sauv Blanc 750ml  [6 pack]</v>
          </cell>
        </row>
        <row r="129">
          <cell r="D129" t="str">
            <v>George Wyndham Shiraz 750ml  [6 pack]</v>
          </cell>
        </row>
        <row r="130">
          <cell r="D130" t="str">
            <v>George Wyndham Shiraz Cabernet 750ml  [6 pack]</v>
          </cell>
        </row>
        <row r="131">
          <cell r="D131" t="str">
            <v>George Wyndham Shiraz Grenache 750ml  [6 pack]</v>
          </cell>
        </row>
        <row r="132">
          <cell r="D132" t="str">
            <v>Gramp's Barossa Chardonnay 750ml (Delisted)  [6 pack]</v>
          </cell>
        </row>
        <row r="133">
          <cell r="D133" t="str">
            <v>Gramp's Barossa Grenache 750ml  [6 pack]</v>
          </cell>
        </row>
        <row r="134">
          <cell r="D134" t="str">
            <v>Gramp's Botrytis Semillon 375ml  [12 pack]</v>
          </cell>
        </row>
        <row r="135">
          <cell r="D135" t="str">
            <v>Gramp's Cabernet Merlot 750ml  [6 pack]</v>
          </cell>
        </row>
        <row r="136">
          <cell r="D136" t="str">
            <v>Gramp's Shiraz 750ml  [6 pack]</v>
          </cell>
        </row>
        <row r="137">
          <cell r="D137" t="str">
            <v>Havana Club Añejo 3 Años 700ml  [6 pack]</v>
          </cell>
        </row>
        <row r="138">
          <cell r="D138" t="str">
            <v>Havana Club Añejo 7 Años 1.0L  [12 pack]</v>
          </cell>
        </row>
        <row r="139">
          <cell r="D139" t="str">
            <v>Havana Club Añejo 7 Años 700ml  [6 pack]</v>
          </cell>
        </row>
        <row r="140">
          <cell r="D140" t="str">
            <v>Havana Club Añejo Blanco 1.0L  [6 pack]</v>
          </cell>
        </row>
        <row r="141">
          <cell r="D141" t="str">
            <v>Havana Club Añejo Blanco 700ml  [6 pack]</v>
          </cell>
        </row>
        <row r="142">
          <cell r="D142" t="str">
            <v>Havana Club Añejo Especial 1.0L  [12 pack]</v>
          </cell>
        </row>
        <row r="143">
          <cell r="D143" t="str">
            <v>Havana Club Añejo Especial 700ml  [6 pack]</v>
          </cell>
        </row>
        <row r="144">
          <cell r="D144" t="str">
            <v>Havana Club Añejo Reserva 700ml  [6 pack]</v>
          </cell>
        </row>
        <row r="145">
          <cell r="D145" t="str">
            <v>Havana Club Cuban Barrel Proof 700ml  [6 pack]</v>
          </cell>
        </row>
        <row r="146">
          <cell r="D146" t="str">
            <v>Havana Club Máximo Extra Añejo 500ml  [1 pack]</v>
          </cell>
        </row>
        <row r="147">
          <cell r="D147" t="str">
            <v>Jac Rdg CbSv 98 1.5Lx1 AU  [1 pack]</v>
          </cell>
        </row>
        <row r="148">
          <cell r="D148" t="str">
            <v>Jac Rdg CbSv 99 750x6 AU  [6 pack]</v>
          </cell>
        </row>
        <row r="149">
          <cell r="D149" t="str">
            <v>Jacaranda Ridge Cabernet Sauvignon 750ml  [6 pack]</v>
          </cell>
        </row>
        <row r="150">
          <cell r="D150" t="str">
            <v>Jameson 1.0L  [6 pack]</v>
          </cell>
        </row>
        <row r="151">
          <cell r="D151" t="str">
            <v>Jameson 200ml  [30 pack]</v>
          </cell>
        </row>
        <row r="152">
          <cell r="D152" t="str">
            <v>Jameson 4.5L  [1 pack]</v>
          </cell>
        </row>
        <row r="153">
          <cell r="D153" t="str">
            <v>Jameson 50ml  [192 pack]</v>
          </cell>
        </row>
        <row r="154">
          <cell r="D154" t="str">
            <v>Jameson 700ml  [6 pack]</v>
          </cell>
        </row>
        <row r="155">
          <cell r="D155" t="str">
            <v>Jameson Gold Reserve 700ml  [6 pack]</v>
          </cell>
        </row>
        <row r="156">
          <cell r="D156" t="str">
            <v>Jameson Rarest Vintage Reserva 700ml  [3 pack]</v>
          </cell>
        </row>
        <row r="157">
          <cell r="D157" t="str">
            <v>Jameson Reserve 12yo 700ml  [6 pack]</v>
          </cell>
        </row>
        <row r="158">
          <cell r="D158" t="str">
            <v>Jameson Reserve 18yo 700ml  [6 pack]</v>
          </cell>
        </row>
        <row r="159">
          <cell r="D159" t="str">
            <v>JC Blanc De Blanc 750ml  [6 pack]</v>
          </cell>
        </row>
        <row r="160">
          <cell r="D160" t="str">
            <v>JC Cabernet Merlot 750ml  [12 pack]</v>
          </cell>
        </row>
        <row r="161">
          <cell r="D161" t="str">
            <v>JC Cabernet Sauvignon 750ml  [12 pack]</v>
          </cell>
        </row>
        <row r="162">
          <cell r="D162" t="str">
            <v>JC Chardonnay 187ml  [24 pack]</v>
          </cell>
        </row>
        <row r="163">
          <cell r="D163" t="str">
            <v>JC Chardonnay 750ml  [12 pack]</v>
          </cell>
        </row>
        <row r="164">
          <cell r="D164" t="str">
            <v>JC Chardonnay Pinot 200ml  [24 pack]</v>
          </cell>
        </row>
        <row r="165">
          <cell r="D165" t="str">
            <v>JC Chardonnay Pinot 3x200ml  [8 pack]</v>
          </cell>
        </row>
        <row r="166">
          <cell r="D166" t="str">
            <v>JC Grenache Shiraz 750ml  [12 pack]</v>
          </cell>
        </row>
        <row r="167">
          <cell r="D167" t="str">
            <v>JC Johann ShiCb 01 750x6 AU  [6 pack]</v>
          </cell>
        </row>
        <row r="168">
          <cell r="D168" t="str">
            <v>JC Ltd Rls ShiCb 96 750x6 AU  [6 pack]</v>
          </cell>
        </row>
        <row r="169">
          <cell r="D169" t="str">
            <v>JC Ltd Rls ShiCb 98 750x6 AU  [6 pack]</v>
          </cell>
        </row>
        <row r="170">
          <cell r="D170" t="str">
            <v>JC Merlot 187ml  [24 pack]</v>
          </cell>
        </row>
        <row r="171">
          <cell r="D171" t="str">
            <v>JC Merlot 750ml  [12 pack]</v>
          </cell>
        </row>
        <row r="172">
          <cell r="D172" t="str">
            <v>JC Moscato White 750ml  [6 pack]</v>
          </cell>
        </row>
        <row r="173">
          <cell r="D173" t="str">
            <v>JC Pinot Grigio 750ml  [12 pack]</v>
          </cell>
        </row>
        <row r="174">
          <cell r="D174" t="str">
            <v>JC Pinot Noir 750ml  [12 pack]</v>
          </cell>
        </row>
        <row r="175">
          <cell r="D175" t="str">
            <v>JC Reeves Pt 750ml  [6 pack]</v>
          </cell>
        </row>
        <row r="176">
          <cell r="D176" t="str">
            <v>JC Riesling 750ml  [12 pack]</v>
          </cell>
        </row>
        <row r="177">
          <cell r="D177" t="str">
            <v>JC Sauvignon Blanc 187ml  [24 pack]</v>
          </cell>
        </row>
        <row r="178">
          <cell r="D178" t="str">
            <v>JC Sauvignon Blanc 750ml  [12 pack]</v>
          </cell>
        </row>
        <row r="179">
          <cell r="D179" t="str">
            <v>JC Semillon Chardonnay 750ml  [12 pack]</v>
          </cell>
        </row>
        <row r="180">
          <cell r="D180" t="str">
            <v>JC Semillon Sauvignon Blanc 750ml  [12 pack]</v>
          </cell>
        </row>
        <row r="181">
          <cell r="D181" t="str">
            <v>JC Shiraz 750ml  [12 pack]</v>
          </cell>
        </row>
        <row r="182">
          <cell r="D182" t="str">
            <v>JC Shiraz Cabernet 187ml  [24 pack]</v>
          </cell>
        </row>
        <row r="183">
          <cell r="D183" t="str">
            <v>JC Shiraz Cabernet 375ml  [12 pack]</v>
          </cell>
        </row>
        <row r="184">
          <cell r="D184" t="str">
            <v>JC Shiraz Cabernet 750ml  [12 pack]</v>
          </cell>
        </row>
        <row r="185">
          <cell r="D185" t="str">
            <v>JC Shiraz Rose 187ml  [24 pack]</v>
          </cell>
        </row>
        <row r="186">
          <cell r="D186" t="str">
            <v>JC Shiraz Rose 750ml  [12 pack]</v>
          </cell>
        </row>
        <row r="187">
          <cell r="D187" t="str">
            <v>JC Sparkling Chardonnay Pinot 750ml  [6 pack]</v>
          </cell>
        </row>
        <row r="188">
          <cell r="D188" t="str">
            <v>JC Sparkling Moscato Rose 750ml  [6 pack]</v>
          </cell>
        </row>
        <row r="189">
          <cell r="D189" t="str">
            <v>JC Sparkling Moscato White 750ml  [6 pack]</v>
          </cell>
        </row>
        <row r="190">
          <cell r="D190" t="str">
            <v>JC Sparkling Rose 200ml  [24 pack]</v>
          </cell>
        </row>
        <row r="191">
          <cell r="D191" t="str">
            <v>JC Sparkling Rose 3x200ml  [8 pack]</v>
          </cell>
        </row>
        <row r="192">
          <cell r="D192" t="str">
            <v>JC Sparkling Rose 750ml  [6 pack]</v>
          </cell>
        </row>
        <row r="193">
          <cell r="D193" t="str">
            <v>JC St Hugo CbSv 00 1.5Lx2 AU  [2 pack]</v>
          </cell>
        </row>
        <row r="194">
          <cell r="D194" t="str">
            <v>JC St Hugo CbSv 04 1.5Lx2 AU  [2 pack]</v>
          </cell>
        </row>
        <row r="195">
          <cell r="D195" t="str">
            <v>JC Steing Ries 06 750x6 AU  [6 pack]</v>
          </cell>
        </row>
        <row r="196">
          <cell r="D196" t="str">
            <v>Johann Shiraz Cabernet 750ml  [6 pack]</v>
          </cell>
        </row>
        <row r="197">
          <cell r="D197" t="str">
            <v>Kahlúa 1.0L  [12 pack]</v>
          </cell>
        </row>
        <row r="198">
          <cell r="D198" t="str">
            <v>Kahlúa 1.0L  [6 pack]</v>
          </cell>
        </row>
        <row r="199">
          <cell r="D199" t="str">
            <v>Kahlúa 350ml  [12 pack]</v>
          </cell>
        </row>
        <row r="200">
          <cell r="D200" t="str">
            <v>Kahlúa 50ml  [120 pack]</v>
          </cell>
        </row>
        <row r="201">
          <cell r="D201" t="str">
            <v>Kahlúa 700ml  [6 pack]</v>
          </cell>
        </row>
        <row r="202">
          <cell r="D202" t="str">
            <v>Lawson's Padthaway Shiraz 750ml  [6 pack]</v>
          </cell>
        </row>
        <row r="203">
          <cell r="D203" t="str">
            <v>Lawsons Shi 02 1.5Lx2 AU  [2 pack]</v>
          </cell>
        </row>
        <row r="204">
          <cell r="D204" t="str">
            <v>Lawsons Shi 97 750x6 AU  [6 pack]</v>
          </cell>
        </row>
        <row r="205">
          <cell r="D205" t="str">
            <v>Lochan Ora 700ml  [12 pack]</v>
          </cell>
        </row>
        <row r="206">
          <cell r="D206" t="str">
            <v>Longmorn 16yo Malt 700ml  [3 pack]</v>
          </cell>
        </row>
        <row r="207">
          <cell r="D207" t="str">
            <v>Malibu &amp; Cola Can 4x375ml  [24 pack]</v>
          </cell>
        </row>
        <row r="208">
          <cell r="D208" t="str">
            <v>Malibu 1.0L  [6 pack]</v>
          </cell>
        </row>
        <row r="209">
          <cell r="D209" t="str">
            <v>Malibu 350ml  [12 pack]</v>
          </cell>
        </row>
        <row r="210">
          <cell r="D210" t="str">
            <v>Malibu 700ml  [6 pack]</v>
          </cell>
        </row>
        <row r="211">
          <cell r="D211" t="str">
            <v>Malibu Apple &amp; Guava 2.0L  [6 pack]</v>
          </cell>
        </row>
        <row r="212">
          <cell r="D212" t="str">
            <v>Malibu Peach &amp; Mango Iced Tea 2.0L  [6 pack]</v>
          </cell>
        </row>
        <row r="213">
          <cell r="D213" t="str">
            <v>Martell Cordon Bleu 700ml  [12 pack]</v>
          </cell>
        </row>
        <row r="214">
          <cell r="D214" t="str">
            <v>Martell Création Grand Extra 700ml  [3 pack]</v>
          </cell>
        </row>
        <row r="215">
          <cell r="D215" t="str">
            <v>Martell L'Or De Jean 700ml  [1 pack]</v>
          </cell>
        </row>
        <row r="216">
          <cell r="D216" t="str">
            <v>Martell VS 700ml  [6 pack]</v>
          </cell>
        </row>
        <row r="217">
          <cell r="D217" t="str">
            <v>Martell VSOP 1.0L  [12 pack]</v>
          </cell>
        </row>
        <row r="218">
          <cell r="D218" t="str">
            <v>Martell VSOP 700ml  [6 pack]</v>
          </cell>
        </row>
        <row r="219">
          <cell r="D219" t="str">
            <v>Martell XO 1.0L  [6 pack]</v>
          </cell>
        </row>
        <row r="220">
          <cell r="D220" t="str">
            <v>Martell XO 700ml  [12 pack]</v>
          </cell>
        </row>
        <row r="221">
          <cell r="D221" t="str">
            <v>Midleton Very Rare 700ml  [6 pack]</v>
          </cell>
        </row>
        <row r="222">
          <cell r="D222" t="str">
            <v>Morris Black Label Muscat 750ml  [12 pack]</v>
          </cell>
        </row>
        <row r="223">
          <cell r="D223" t="str">
            <v>Morris Black Label Tawny 750ml  [12 pack]</v>
          </cell>
        </row>
        <row r="224">
          <cell r="D224" t="str">
            <v>Morris Blanc Superior 4.0L  [4 pack]</v>
          </cell>
        </row>
        <row r="225">
          <cell r="D225" t="str">
            <v>Morris Cabernet Sauvignon 4.0L  [4 pack]</v>
          </cell>
        </row>
        <row r="226">
          <cell r="D226" t="str">
            <v>Morris Cabernet Sauvignon 750ml  [6 pack]</v>
          </cell>
        </row>
        <row r="227">
          <cell r="D227" t="str">
            <v>Morris Chardonnay 4.0L  [4 pack]</v>
          </cell>
        </row>
        <row r="228">
          <cell r="D228" t="str">
            <v>Morris Chardonnay 750ml  [6 pack]</v>
          </cell>
        </row>
        <row r="229">
          <cell r="D229" t="str">
            <v>Morris Cinsaut 750ml (Blue Imperial)  [6 pack]</v>
          </cell>
        </row>
        <row r="230">
          <cell r="D230" t="str">
            <v>Morris Cream 2.0L  [8 pack]</v>
          </cell>
        </row>
        <row r="231">
          <cell r="D231" t="str">
            <v>Morris Dry Red 15.0L  [1 pack]</v>
          </cell>
        </row>
        <row r="232">
          <cell r="D232" t="str">
            <v>Morris Dry Red 4.0L  [4 pack]</v>
          </cell>
        </row>
        <row r="233">
          <cell r="D233" t="str">
            <v>Morris Dry White 15.0L  [1 pack]</v>
          </cell>
        </row>
        <row r="234">
          <cell r="D234" t="str">
            <v>Morris Durif 750ml  [6 pack]</v>
          </cell>
        </row>
        <row r="235">
          <cell r="D235" t="str">
            <v>Morris Fresh Dry White 4.0L  [4 pack]</v>
          </cell>
        </row>
        <row r="236">
          <cell r="D236" t="str">
            <v>Morris Liq Muscat 500ml  [6 pack]</v>
          </cell>
        </row>
        <row r="237">
          <cell r="D237" t="str">
            <v>Morris Liq Tawny 500ml  [6 pack]</v>
          </cell>
        </row>
        <row r="238">
          <cell r="D238" t="str">
            <v>Morris Liq Tokay 500ml  [6 pack]</v>
          </cell>
        </row>
        <row r="239">
          <cell r="D239" t="str">
            <v>Morris Merlot 4.0L  [4 pack]</v>
          </cell>
        </row>
        <row r="240">
          <cell r="D240" t="str">
            <v>Morris Moselle 4.0L  [4 pack]</v>
          </cell>
        </row>
        <row r="241">
          <cell r="D241" t="str">
            <v>Morris Old Premium Tawny 500ml  [6 pack]</v>
          </cell>
        </row>
        <row r="242">
          <cell r="D242" t="str">
            <v>Morris Premium Amontillado 500ml  [6 pack]</v>
          </cell>
        </row>
        <row r="243">
          <cell r="D243" t="str">
            <v>Morris Premium Dry White 4.0L  [4 pack]</v>
          </cell>
        </row>
        <row r="244">
          <cell r="D244" t="str">
            <v>Morris Premium Liq Muscat 500ml  [6 pack]</v>
          </cell>
        </row>
        <row r="245">
          <cell r="D245" t="str">
            <v>Morris Premium Liq Tokay 500ml  [6 pack]</v>
          </cell>
        </row>
        <row r="246">
          <cell r="D246" t="str">
            <v>Morris Pressings 4.0L  [4 pack]</v>
          </cell>
        </row>
        <row r="247">
          <cell r="D247" t="str">
            <v>Morris Shiraz 4.0L  [4 pack]</v>
          </cell>
        </row>
        <row r="248">
          <cell r="D248" t="str">
            <v>Morris Shiraz 750ml  [6 pack]</v>
          </cell>
        </row>
        <row r="249">
          <cell r="D249" t="str">
            <v>Morris Sparkling Shiraz Durif 750ml  [6 pack]</v>
          </cell>
        </row>
        <row r="250">
          <cell r="D250" t="str">
            <v>Morris Tawny 2.0L  [8 pack]</v>
          </cell>
        </row>
        <row r="251">
          <cell r="D251" t="str">
            <v>Mumm Cordon Rouge 1.5L  [3 pack]</v>
          </cell>
        </row>
        <row r="252">
          <cell r="D252" t="str">
            <v>Mumm Cordon Rouge 200ml  [24 pack]</v>
          </cell>
        </row>
        <row r="253">
          <cell r="D253" t="str">
            <v>Mumm Cordon Rouge 3.0L  [1 pack]</v>
          </cell>
        </row>
        <row r="254">
          <cell r="D254" t="str">
            <v>Mumm Cordon Rouge 375ml  [12 pack]</v>
          </cell>
        </row>
        <row r="255">
          <cell r="D255" t="str">
            <v>Mumm Cordon Rouge 750ml  [6 pack]</v>
          </cell>
        </row>
        <row r="256">
          <cell r="D256" t="str">
            <v>Mumm Cordon Rouge 750ml (gift box dinner jacket)  [6 pack]</v>
          </cell>
        </row>
        <row r="257">
          <cell r="D257" t="str">
            <v>Mumm Cordon Rouge 750ml (gift box)  [6 pack]</v>
          </cell>
        </row>
        <row r="258">
          <cell r="D258" t="str">
            <v>Mumm Cordon Rouge 750ml (gift box)  [6 pack]</v>
          </cell>
        </row>
        <row r="259">
          <cell r="D259" t="str">
            <v>Mumm Cordon Rouge Millésime 750ml (gift box)  [6 pack]</v>
          </cell>
        </row>
        <row r="260">
          <cell r="D260" t="str">
            <v>Mumm De Cramant 750ml (gift box)  [6 pack]</v>
          </cell>
        </row>
        <row r="261">
          <cell r="D261" t="str">
            <v>Mumm R. Lalou 750ml (gift box)   [6 pack]</v>
          </cell>
        </row>
        <row r="262">
          <cell r="D262" t="str">
            <v>Mumm Rosé 750ml  [6 pack]</v>
          </cell>
        </row>
        <row r="263">
          <cell r="D263" t="str">
            <v>Mumm Rosé 750ml (gift box dinner jacket)  [6 pack]</v>
          </cell>
        </row>
        <row r="264">
          <cell r="D264" t="str">
            <v>Mumm Rosé 750ml (gift box)  [6 pack]</v>
          </cell>
        </row>
        <row r="265">
          <cell r="D265" t="str">
            <v>Olmeca Reposado 700ml  [6 pack]</v>
          </cell>
        </row>
        <row r="266">
          <cell r="D266" t="str">
            <v>Olmeca Tezón Añejo 750ml  [6 pack]</v>
          </cell>
        </row>
        <row r="267">
          <cell r="D267" t="str">
            <v>Orlando Liqueur Tawny 750ml  [12 pack]</v>
          </cell>
        </row>
        <row r="268">
          <cell r="D268" t="str">
            <v>Pernod 700ml  [6 pack]</v>
          </cell>
        </row>
        <row r="269">
          <cell r="D269" t="str">
            <v>Pernod Absinthe 700ml  [6 pack]</v>
          </cell>
        </row>
        <row r="270">
          <cell r="D270" t="str">
            <v>Perrier-Jouët Belle Époque Blanc 750ml  [6 pack]</v>
          </cell>
        </row>
        <row r="271">
          <cell r="D271" t="str">
            <v>Perrier-Jouët Belle Époque Blanc De Blanc 750ml (OP only)  [6 pack]</v>
          </cell>
        </row>
        <row r="272">
          <cell r="D272" t="str">
            <v>Perrier-Jouët Belle Époque Rosé 750ml  [6 pack]</v>
          </cell>
        </row>
        <row r="273">
          <cell r="D273" t="str">
            <v>Perrier-Jouët Blason Rosé 750ml (gift box)  [6 pack]</v>
          </cell>
        </row>
        <row r="274">
          <cell r="D274" t="str">
            <v>Perrier-Jouët Grand Brut 750ml (gift box)  [6 pack]</v>
          </cell>
        </row>
        <row r="275">
          <cell r="D275" t="str">
            <v>Perrier-Jouët Grand Brut 750ml (gift box)  [6 pack]</v>
          </cell>
        </row>
        <row r="276">
          <cell r="D276" t="str">
            <v>Perrier-Jouët Grand Brut Vintage 750ml (gift box)  [6 pack]</v>
          </cell>
        </row>
        <row r="277">
          <cell r="D277" t="str">
            <v>Plymouth 1.0L  [6 pack]</v>
          </cell>
        </row>
        <row r="278">
          <cell r="D278" t="str">
            <v>Plymouth 700ml (41%)  [6 pack]</v>
          </cell>
        </row>
        <row r="279">
          <cell r="D279" t="str">
            <v>Plymouth 700ml (41%) (TBD)  [6 pack]</v>
          </cell>
        </row>
        <row r="280">
          <cell r="D280" t="str">
            <v>Plymouth Navy Strength 700ml (57%)  [6 pack]</v>
          </cell>
        </row>
        <row r="281">
          <cell r="D281" t="str">
            <v>Plymouth Sloe Gin 700ml  [6 pack]</v>
          </cell>
        </row>
        <row r="282">
          <cell r="D282" t="str">
            <v>Plymouth Sloe Gin 700ml (TBD)  [4 pack]</v>
          </cell>
        </row>
        <row r="283">
          <cell r="D283" t="str">
            <v>Quinta De Tarsus Ribera 750ml  [6 pack]</v>
          </cell>
        </row>
        <row r="284">
          <cell r="D284" t="str">
            <v>R.Grove Adelaide Hills Chardonnay 750ml  [6 pack]</v>
          </cell>
        </row>
        <row r="285">
          <cell r="D285" t="str">
            <v>R.Grove Barossa Shiraz 750ml  [6 pack]</v>
          </cell>
        </row>
        <row r="286">
          <cell r="D286" t="str">
            <v>R.Grove Black Cat Shiraz 750ml  [6 pack]</v>
          </cell>
        </row>
        <row r="287">
          <cell r="D287" t="str">
            <v>R.Grove Chardonnay Pinot 750ml  [6 pack]</v>
          </cell>
        </row>
        <row r="288">
          <cell r="D288" t="str">
            <v>R.Grove Coonawarra Cab 750ml  [6 pack]</v>
          </cell>
        </row>
        <row r="289">
          <cell r="D289" t="str">
            <v>R.Grove Footbridge Riesling 750ml (Delisted)  [6 pack]</v>
          </cell>
        </row>
        <row r="290">
          <cell r="D290" t="str">
            <v>R.Grove French Cask Chardonnay 750ml  [6 pack]</v>
          </cell>
        </row>
        <row r="291">
          <cell r="D291" t="str">
            <v>R.Grove Watervale Riesling 2004 750ml (Signé only)  [6 pack]</v>
          </cell>
        </row>
        <row r="292">
          <cell r="D292" t="str">
            <v>R.Grove Watervale Riesling 2007 750ml (Signé only)  [6 pack]</v>
          </cell>
        </row>
        <row r="293">
          <cell r="D293" t="str">
            <v>R.Grove Watervale Riesling 750ml  [6 pack]</v>
          </cell>
        </row>
        <row r="294">
          <cell r="D294" t="str">
            <v>R.Grove Weathervane Cabernet Merlot 750ml  [6 pack]</v>
          </cell>
        </row>
        <row r="295">
          <cell r="D295" t="str">
            <v>Reserve Adelaide Hills Chardonnay 750ml  [6 pack]</v>
          </cell>
        </row>
        <row r="296">
          <cell r="D296" t="str">
            <v>Reserve Adelaide Hills Pinot Noir 750ml  [6 pack]</v>
          </cell>
        </row>
        <row r="297">
          <cell r="D297" t="str">
            <v>Reserve Adelaide Hills Pinot Noir 750ml (Australian Open)  [6 pack]</v>
          </cell>
        </row>
        <row r="298">
          <cell r="D298" t="str">
            <v>Reserve Adelaide Hills Sauvignon Blanc 750ml  [6 pack]</v>
          </cell>
        </row>
        <row r="299">
          <cell r="D299" t="str">
            <v>Reserve Barossa Riesling 750ml  [6 pack]</v>
          </cell>
        </row>
        <row r="300">
          <cell r="D300" t="str">
            <v>Reserve Barossa Riesling 750ml (Australian Open)  [6 pack]</v>
          </cell>
        </row>
        <row r="301">
          <cell r="D301" t="str">
            <v>Reserve Barossa Shiraz 750ml  [6 pack]</v>
          </cell>
        </row>
        <row r="302">
          <cell r="D302" t="str">
            <v>Reserve Chardonnay Pinot 750ml  [6 pack]</v>
          </cell>
        </row>
        <row r="303">
          <cell r="D303" t="str">
            <v>Reserve Coonawarra Cabernet Sauvignon 750ml  [6 pack]</v>
          </cell>
        </row>
        <row r="304">
          <cell r="D304" t="str">
            <v>Ricard 700ml  [6 pack]</v>
          </cell>
        </row>
        <row r="305">
          <cell r="D305" t="str">
            <v>Royal Salute 100 Cask 700ml  [6 pack]</v>
          </cell>
        </row>
        <row r="306">
          <cell r="D306" t="str">
            <v>Royal Salute 38yo 700ml  [3 pack]</v>
          </cell>
        </row>
        <row r="307">
          <cell r="D307" t="str">
            <v>Royal Salute 62 Gun Salute 1.0L  [1 pack]</v>
          </cell>
        </row>
        <row r="308">
          <cell r="D308" t="str">
            <v>Royal Salute Diamond Jubilee 700ml (Ltd Release)  [6 pack]</v>
          </cell>
        </row>
        <row r="309">
          <cell r="D309" t="str">
            <v>Royal Salute Mixed Case 700ml  [6 pack]</v>
          </cell>
        </row>
        <row r="310">
          <cell r="D310" t="str">
            <v>Scapa 16yo 700ml  [6 pack]</v>
          </cell>
        </row>
        <row r="311">
          <cell r="D311" t="str">
            <v>Seagram's London Dry Gin 700ml  [12 pack]</v>
          </cell>
        </row>
        <row r="312">
          <cell r="D312" t="str">
            <v>Soho Lychee 700ml  [6 pack]</v>
          </cell>
        </row>
        <row r="313">
          <cell r="D313" t="str">
            <v>St Helga Eden Valley Riesling 750ml  [6 pack]</v>
          </cell>
        </row>
        <row r="314">
          <cell r="D314" t="str">
            <v>St Helga Ries 07 750x6 AU  [6 pack]</v>
          </cell>
        </row>
        <row r="315">
          <cell r="D315" t="str">
            <v>St Hilary Padthaway Chardonnay 750ml  [6 pack]</v>
          </cell>
        </row>
        <row r="316">
          <cell r="D316" t="str">
            <v>St Hugo Barossa Shiraz 750ml  [6 pack]</v>
          </cell>
        </row>
        <row r="317">
          <cell r="D317" t="str">
            <v>St Hugo Cabernet Sauvignon 750ml  [6 pack]</v>
          </cell>
        </row>
        <row r="318">
          <cell r="D318" t="str">
            <v>St Hugo Cabernet Sauvingon 2003 2x1.5L  [2 pack]</v>
          </cell>
        </row>
        <row r="319">
          <cell r="D319" t="str">
            <v>St Hugo Grenache Shiraz Mataro 750ml  [6 pack]</v>
          </cell>
        </row>
        <row r="320">
          <cell r="D320" t="str">
            <v>St Hugo SA Shiraz Cabernet 750ml  [6 pack]</v>
          </cell>
        </row>
        <row r="321">
          <cell r="D321" t="str">
            <v>Steingarten Riesling 750ml  [6 pack]</v>
          </cell>
        </row>
        <row r="322">
          <cell r="D322" t="str">
            <v>Stoneleigh Chardonnay 750ml (To Be Delsited)  [6 pack]</v>
          </cell>
        </row>
        <row r="323">
          <cell r="D323" t="str">
            <v>Stoneleigh Pinot Gris 750ml  [6 pack]</v>
          </cell>
        </row>
        <row r="324">
          <cell r="D324" t="str">
            <v>Stoneleigh Pinot Gris 750ml (TBD)  [6 pack]</v>
          </cell>
        </row>
        <row r="325">
          <cell r="D325" t="str">
            <v>Stoneleigh Pinot Noir 750ml  [6 pack]</v>
          </cell>
        </row>
        <row r="326">
          <cell r="D326" t="str">
            <v>Stoneleigh Rapaura Pinot Gris 750ml  [6 pack]</v>
          </cell>
        </row>
        <row r="327">
          <cell r="D327" t="str">
            <v>Stoneleigh Rapaura Pinot Noir 750ml  [6 pack]</v>
          </cell>
        </row>
        <row r="328">
          <cell r="D328" t="str">
            <v>Stoneleigh Rapaura Sauvignon Blanc 750ml  [6 pack]</v>
          </cell>
        </row>
        <row r="329">
          <cell r="D329" t="str">
            <v>Stoneleigh Sauvignon Blanc 750ml  [6 pack]</v>
          </cell>
        </row>
        <row r="330">
          <cell r="D330" t="str">
            <v>Strathisla 12yo 700ml  [6 pack]</v>
          </cell>
        </row>
        <row r="331">
          <cell r="D331" t="str">
            <v>Terra D'Ouro Rias Baixas 750ml  [6 pack]</v>
          </cell>
        </row>
        <row r="332">
          <cell r="D332" t="str">
            <v>The Glenlivet 12yo 700ml  [6 pack]</v>
          </cell>
        </row>
        <row r="333">
          <cell r="D333" t="str">
            <v>The Glenlivet 15yo French Oak 700ml  [6 pack]</v>
          </cell>
        </row>
        <row r="334">
          <cell r="D334" t="str">
            <v>The Glenlivet 16yo Nadurra 700ml  [6 pack]</v>
          </cell>
        </row>
        <row r="335">
          <cell r="D335" t="str">
            <v>The Glenlivet 16yo Nadurra 700ml (53.6%)  [6 pack]</v>
          </cell>
        </row>
        <row r="336">
          <cell r="D336" t="str">
            <v>The Glenlivet 18yo 700ml  [6 pack]</v>
          </cell>
        </row>
        <row r="337">
          <cell r="D337" t="str">
            <v>The Glenlivet 21yo Archive 700ml  [3 pack]</v>
          </cell>
        </row>
        <row r="338">
          <cell r="D338" t="str">
            <v>The Glenlivet 25yo XXV 700ml  [3 pack]</v>
          </cell>
        </row>
        <row r="339">
          <cell r="D339" t="str">
            <v>The Lone Fig Chardonnay 750ml  [12 pack]</v>
          </cell>
        </row>
        <row r="340">
          <cell r="D340" t="str">
            <v>The Lone Fig Sem Sauv Blanc 750ml  [12 pack]</v>
          </cell>
        </row>
        <row r="341">
          <cell r="D341" t="str">
            <v>The Lone Fig Shiraz 750ml  [12 pack]</v>
          </cell>
        </row>
        <row r="342">
          <cell r="D342" t="str">
            <v>The Lone Fig Sparkling 750ml  [6 pack]</v>
          </cell>
        </row>
        <row r="343">
          <cell r="D343" t="str">
            <v>Trilogy Sparkling White 750ml  [6 pack]</v>
          </cell>
        </row>
        <row r="344">
          <cell r="D344" t="str">
            <v>Tylers Stream Sauvignon Blanc 750ml  [6 pack]</v>
          </cell>
        </row>
        <row r="345">
          <cell r="D345" t="str">
            <v>WE Vineyard Series Hunter Valley Shiraz 750ml  [6 pack]</v>
          </cell>
        </row>
        <row r="346">
          <cell r="D346" t="str">
            <v>WE Vineyard Series Margaret River Chardonnay 750ml  [6 pack]</v>
          </cell>
        </row>
        <row r="347">
          <cell r="D347" t="str">
            <v>WE Vineyard Series Padthaway Shiraz 750ml  [6 pack]</v>
          </cell>
        </row>
        <row r="348">
          <cell r="D348" t="str">
            <v>West Coast 4x250ml  [24 pack]</v>
          </cell>
        </row>
        <row r="349">
          <cell r="D349" t="str">
            <v>West Coast 6x250ml  [24 pack]</v>
          </cell>
        </row>
        <row r="350">
          <cell r="D350" t="str">
            <v>White Heather 700ml  [12 pack]</v>
          </cell>
        </row>
        <row r="351">
          <cell r="D351" t="str">
            <v>White Heather 700ml  [6 pack]</v>
          </cell>
        </row>
        <row r="352">
          <cell r="D352" t="str">
            <v>Wyborowa Exquisite 1.0L (40%)  [6 pack]</v>
          </cell>
        </row>
        <row r="353">
          <cell r="D353" t="str">
            <v>Wyborowa Exquiste 700ml (40%)  [6 pack]</v>
          </cell>
        </row>
        <row r="354">
          <cell r="D354" t="str">
            <v>Wyborowa Vodka 1.0L  [6 pack]</v>
          </cell>
        </row>
        <row r="355">
          <cell r="D355" t="str">
            <v>Wyborowa Vodka 200ml  [20 pack]</v>
          </cell>
        </row>
        <row r="356">
          <cell r="D356" t="str">
            <v>Wyborowa Vodka 50ml  [120 pack]</v>
          </cell>
        </row>
        <row r="357">
          <cell r="D357" t="str">
            <v>Wyborowa Vodka 700ml  [6 pack]</v>
          </cell>
        </row>
        <row r="358">
          <cell r="D358" t="str">
            <v>Wyndham Black Cluster Shiraz 750ml  [6 pack]</v>
          </cell>
        </row>
        <row r="359">
          <cell r="D359" t="str">
            <v>Wyndham Series Cabernet Merlot 1997 750ml (Signé only)  [6 pack]</v>
          </cell>
        </row>
        <row r="360">
          <cell r="D360" t="str">
            <v>Ysios Rioja Reserva 750ml  [6 pack]</v>
          </cell>
        </row>
        <row r="361">
          <cell r="D361" t="str">
            <v>Zubrowka 700ml  [6 pack]</v>
          </cell>
        </row>
        <row r="362">
          <cell r="D362" t="str">
            <v>Zubrowka 700ml (TBD)  [12 pack]</v>
          </cell>
        </row>
      </sheetData>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Temp"/>
      <sheetName val="Settings"/>
      <sheetName val="Sheet1"/>
      <sheetName val="OP_WPPP_Temp"/>
      <sheetName val="OP_SPPP_Temp"/>
      <sheetName val="Payment_Advice_Temp"/>
      <sheetName val="Accrual_And_Prepayment"/>
      <sheetName val="Monthly_Statement_Temp"/>
      <sheetName val="PAF_Temp"/>
      <sheetName val="Purchase_Order_Temp"/>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Temp"/>
      <sheetName val="Settings"/>
      <sheetName val="Calendar"/>
      <sheetName val="Sheet1"/>
      <sheetName val="Promo_QA3_Temp"/>
      <sheetName val="Promo_Bonus_Temp"/>
      <sheetName val="OP_WPPP_Temp"/>
      <sheetName val="OP_SPPP_Temp"/>
      <sheetName val="Submission_Form_P35"/>
      <sheetName val="E1Upload_Temp"/>
      <sheetName val="ALMDealSheet_Temp"/>
      <sheetName val="StandardDealSheet_Tem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1.bin"/><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H10"/>
  <sheetViews>
    <sheetView tabSelected="1" zoomScaleNormal="100" workbookViewId="0">
      <selection activeCell="J21" sqref="J21"/>
    </sheetView>
  </sheetViews>
  <sheetFormatPr defaultRowHeight="15" x14ac:dyDescent="0.25"/>
  <cols>
    <col min="1" max="3" width="9.28515625" style="3" customWidth="1"/>
    <col min="4" max="7" width="9.140625" style="3"/>
    <col min="8" max="8" width="9.7109375" style="3" bestFit="1" customWidth="1"/>
    <col min="9" max="16384" width="9.140625" style="3"/>
  </cols>
  <sheetData>
    <row r="10" spans="8:8" x14ac:dyDescent="0.25">
      <c r="H10" s="2"/>
    </row>
  </sheetData>
  <dataConsolidate/>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LoadMain">
                <anchor moveWithCells="1" sizeWithCells="1">
                  <from>
                    <xdr:col>1</xdr:col>
                    <xdr:colOff>323850</xdr:colOff>
                    <xdr:row>2</xdr:row>
                    <xdr:rowOff>76200</xdr:rowOff>
                  </from>
                  <to>
                    <xdr:col>4</xdr:col>
                    <xdr:colOff>438150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H15" sqref="H15"/>
    </sheetView>
  </sheetViews>
  <sheetFormatPr defaultRowHeight="15" x14ac:dyDescent="0.25"/>
  <sheetData/>
  <dataConsolidate/>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5"/>
  <sheetViews>
    <sheetView workbookViewId="0">
      <selection activeCell="H15" sqref="H15"/>
    </sheetView>
  </sheetViews>
  <sheetFormatPr defaultRowHeight="15" x14ac:dyDescent="0.25"/>
  <sheetData>
    <row r="1" spans="1:12" x14ac:dyDescent="0.25">
      <c r="A1" t="s">
        <v>0</v>
      </c>
      <c r="B1" t="s">
        <v>1</v>
      </c>
      <c r="C1" t="s">
        <v>13</v>
      </c>
      <c r="D1" t="s">
        <v>2</v>
      </c>
      <c r="E1" t="s">
        <v>14</v>
      </c>
      <c r="F1" t="s">
        <v>3</v>
      </c>
      <c r="G1" t="s">
        <v>15</v>
      </c>
      <c r="H1" t="s">
        <v>4</v>
      </c>
      <c r="I1" t="s">
        <v>5</v>
      </c>
      <c r="J1" t="s">
        <v>8</v>
      </c>
    </row>
    <row r="2" spans="1:12" x14ac:dyDescent="0.25">
      <c r="A2" t="s">
        <v>16</v>
      </c>
      <c r="B2" t="s">
        <v>20</v>
      </c>
      <c r="C2" t="s">
        <v>24</v>
      </c>
      <c r="D2" t="s">
        <v>28</v>
      </c>
      <c r="E2">
        <v>123456</v>
      </c>
      <c r="F2">
        <v>12</v>
      </c>
      <c r="G2" s="1">
        <v>89.78</v>
      </c>
      <c r="H2">
        <v>1</v>
      </c>
      <c r="I2">
        <v>4</v>
      </c>
      <c r="J2" s="1">
        <v>89.78</v>
      </c>
    </row>
    <row r="3" spans="1:12" x14ac:dyDescent="0.25">
      <c r="A3" t="s">
        <v>17</v>
      </c>
      <c r="B3" t="s">
        <v>21</v>
      </c>
      <c r="C3" t="s">
        <v>25</v>
      </c>
      <c r="D3" t="s">
        <v>29</v>
      </c>
      <c r="E3">
        <v>123456</v>
      </c>
      <c r="F3">
        <v>23</v>
      </c>
      <c r="G3" s="1">
        <v>90.78</v>
      </c>
      <c r="H3">
        <v>3</v>
      </c>
      <c r="I3">
        <v>5</v>
      </c>
      <c r="J3" s="1">
        <v>90.78</v>
      </c>
    </row>
    <row r="4" spans="1:12" x14ac:dyDescent="0.25">
      <c r="A4" t="s">
        <v>18</v>
      </c>
      <c r="B4" t="s">
        <v>22</v>
      </c>
      <c r="C4" t="s">
        <v>26</v>
      </c>
      <c r="D4" t="s">
        <v>30</v>
      </c>
      <c r="E4">
        <v>123456</v>
      </c>
      <c r="F4">
        <v>56</v>
      </c>
      <c r="G4" s="1">
        <v>91.78</v>
      </c>
      <c r="H4">
        <v>4</v>
      </c>
      <c r="I4">
        <v>6</v>
      </c>
      <c r="J4" s="1">
        <v>91.78</v>
      </c>
    </row>
    <row r="5" spans="1:12" x14ac:dyDescent="0.25">
      <c r="A5" t="s">
        <v>19</v>
      </c>
      <c r="B5" t="s">
        <v>23</v>
      </c>
      <c r="C5" t="s">
        <v>27</v>
      </c>
      <c r="D5" t="s">
        <v>31</v>
      </c>
      <c r="E5">
        <v>123456</v>
      </c>
      <c r="F5">
        <v>78</v>
      </c>
      <c r="G5" s="1">
        <v>92.78</v>
      </c>
      <c r="H5">
        <v>6</v>
      </c>
      <c r="I5">
        <v>7</v>
      </c>
      <c r="J5" s="1">
        <v>92.78</v>
      </c>
    </row>
    <row r="6" spans="1:12" x14ac:dyDescent="0.25">
      <c r="A6" t="s">
        <v>34</v>
      </c>
      <c r="B6" t="s">
        <v>35</v>
      </c>
      <c r="C6" t="s">
        <v>36</v>
      </c>
      <c r="D6" t="s">
        <v>31</v>
      </c>
      <c r="E6">
        <v>123456</v>
      </c>
      <c r="F6">
        <v>78</v>
      </c>
      <c r="G6" s="1">
        <v>92.78</v>
      </c>
      <c r="H6">
        <v>6</v>
      </c>
      <c r="I6">
        <v>7</v>
      </c>
      <c r="J6" s="1">
        <v>92.78</v>
      </c>
    </row>
    <row r="10" spans="1:12" x14ac:dyDescent="0.25">
      <c r="A10" t="s">
        <v>0</v>
      </c>
      <c r="B10" t="s">
        <v>1</v>
      </c>
      <c r="C10" t="s">
        <v>13</v>
      </c>
      <c r="D10" t="s">
        <v>2</v>
      </c>
      <c r="E10" t="s">
        <v>14</v>
      </c>
      <c r="F10" t="s">
        <v>3</v>
      </c>
      <c r="G10" t="s">
        <v>6</v>
      </c>
      <c r="H10" t="s">
        <v>7</v>
      </c>
      <c r="I10" t="s">
        <v>9</v>
      </c>
      <c r="J10" t="s">
        <v>10</v>
      </c>
      <c r="K10" t="s">
        <v>11</v>
      </c>
      <c r="L10" t="s">
        <v>12</v>
      </c>
    </row>
    <row r="11" spans="1:12" x14ac:dyDescent="0.25">
      <c r="A11" t="s">
        <v>16</v>
      </c>
      <c r="B11" t="s">
        <v>20</v>
      </c>
      <c r="C11" t="s">
        <v>24</v>
      </c>
      <c r="D11" t="s">
        <v>28</v>
      </c>
      <c r="E11">
        <v>123456</v>
      </c>
      <c r="F11">
        <v>12</v>
      </c>
      <c r="G11">
        <v>4</v>
      </c>
      <c r="H11">
        <v>1</v>
      </c>
      <c r="I11" t="s">
        <v>32</v>
      </c>
      <c r="J11" t="s">
        <v>24</v>
      </c>
      <c r="K11" t="s">
        <v>28</v>
      </c>
      <c r="L11">
        <v>123456</v>
      </c>
    </row>
    <row r="12" spans="1:12" x14ac:dyDescent="0.25">
      <c r="A12" t="s">
        <v>17</v>
      </c>
      <c r="B12" t="s">
        <v>21</v>
      </c>
      <c r="C12" t="s">
        <v>25</v>
      </c>
      <c r="D12" t="s">
        <v>29</v>
      </c>
      <c r="E12">
        <v>123456</v>
      </c>
      <c r="F12">
        <v>23</v>
      </c>
      <c r="G12">
        <v>5</v>
      </c>
      <c r="H12">
        <v>2</v>
      </c>
      <c r="I12" t="s">
        <v>32</v>
      </c>
      <c r="J12" t="s">
        <v>25</v>
      </c>
      <c r="K12" t="s">
        <v>29</v>
      </c>
      <c r="L12">
        <v>123456</v>
      </c>
    </row>
    <row r="13" spans="1:12" x14ac:dyDescent="0.25">
      <c r="A13" t="s">
        <v>18</v>
      </c>
      <c r="B13" t="s">
        <v>22</v>
      </c>
      <c r="C13" t="s">
        <v>26</v>
      </c>
      <c r="D13" t="s">
        <v>30</v>
      </c>
      <c r="E13">
        <v>123456</v>
      </c>
      <c r="F13">
        <v>56</v>
      </c>
      <c r="G13">
        <v>2</v>
      </c>
      <c r="H13">
        <v>3</v>
      </c>
      <c r="I13" t="s">
        <v>33</v>
      </c>
      <c r="J13" t="s">
        <v>26</v>
      </c>
      <c r="K13" t="s">
        <v>30</v>
      </c>
      <c r="L13">
        <v>123456</v>
      </c>
    </row>
    <row r="14" spans="1:12" x14ac:dyDescent="0.25">
      <c r="A14" t="s">
        <v>19</v>
      </c>
      <c r="B14" t="s">
        <v>23</v>
      </c>
      <c r="C14" t="s">
        <v>27</v>
      </c>
      <c r="D14" t="s">
        <v>31</v>
      </c>
      <c r="E14">
        <v>123456</v>
      </c>
      <c r="F14">
        <v>78</v>
      </c>
      <c r="G14">
        <v>3</v>
      </c>
      <c r="H14">
        <v>4</v>
      </c>
      <c r="I14" t="s">
        <v>33</v>
      </c>
      <c r="J14" t="s">
        <v>27</v>
      </c>
      <c r="K14" t="s">
        <v>31</v>
      </c>
      <c r="L14">
        <v>123456</v>
      </c>
    </row>
    <row r="15" spans="1:12" x14ac:dyDescent="0.25">
      <c r="A15" t="s">
        <v>34</v>
      </c>
      <c r="B15" t="s">
        <v>35</v>
      </c>
      <c r="C15" t="s">
        <v>36</v>
      </c>
      <c r="D15" t="s">
        <v>31</v>
      </c>
      <c r="E15">
        <v>123456</v>
      </c>
      <c r="F15">
        <v>78</v>
      </c>
      <c r="G15">
        <v>3</v>
      </c>
      <c r="H15">
        <v>4</v>
      </c>
      <c r="I15" t="s">
        <v>32</v>
      </c>
      <c r="J15" t="s">
        <v>36</v>
      </c>
      <c r="K15" t="s">
        <v>31</v>
      </c>
      <c r="L15">
        <v>123457</v>
      </c>
    </row>
  </sheetData>
  <autoFilter ref="A10:L10"/>
  <dataConsolidate/>
  <pageMargins left="0.7" right="0.7" top="0.75" bottom="0.75" header="0.3" footer="0.3"/>
  <pageSetup paperSize="9" orientation="portrait" horizontalDpi="360" verticalDpi="36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
  <sheetViews>
    <sheetView zoomScale="85" zoomScaleNormal="85" workbookViewId="0">
      <selection activeCell="H4" sqref="H4"/>
    </sheetView>
  </sheetViews>
  <sheetFormatPr defaultRowHeight="15" x14ac:dyDescent="0.25"/>
  <sheetData/>
  <dataConsolidate/>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81" r:id="rId4" name="ComboBox1">
          <controlPr defaultSize="0" autoLine="0" r:id="rId5">
            <anchor moveWithCells="1">
              <from>
                <xdr:col>4</xdr:col>
                <xdr:colOff>200025</xdr:colOff>
                <xdr:row>0</xdr:row>
                <xdr:rowOff>161925</xdr:rowOff>
              </from>
              <to>
                <xdr:col>8</xdr:col>
                <xdr:colOff>152400</xdr:colOff>
                <xdr:row>2</xdr:row>
                <xdr:rowOff>28575</xdr:rowOff>
              </to>
            </anchor>
          </controlPr>
        </control>
      </mc:Choice>
      <mc:Fallback>
        <control shapeId="20481" r:id="rId4" name="ComboBox1"/>
      </mc:Fallback>
    </mc:AlternateContent>
    <mc:AlternateContent xmlns:mc="http://schemas.openxmlformats.org/markup-compatibility/2006">
      <mc:Choice Requires="x14">
        <control shapeId="20482" r:id="rId6" name="Label1">
          <controlPr defaultSize="0" autoLine="0" r:id="rId7">
            <anchor moveWithCells="1">
              <from>
                <xdr:col>3</xdr:col>
                <xdr:colOff>190500</xdr:colOff>
                <xdr:row>0</xdr:row>
                <xdr:rowOff>171450</xdr:rowOff>
              </from>
              <to>
                <xdr:col>4</xdr:col>
                <xdr:colOff>95250</xdr:colOff>
                <xdr:row>2</xdr:row>
                <xdr:rowOff>19050</xdr:rowOff>
              </to>
            </anchor>
          </controlPr>
        </control>
      </mc:Choice>
      <mc:Fallback>
        <control shapeId="20482" r:id="rId6" name="Label1"/>
      </mc:Fallback>
    </mc:AlternateContent>
    <mc:AlternateContent xmlns:mc="http://schemas.openxmlformats.org/markup-compatibility/2006">
      <mc:Choice Requires="x14">
        <control shapeId="20483" r:id="rId8" name="ComboBox2">
          <controlPr defaultSize="0" autoLine="0" r:id="rId9">
            <anchor moveWithCells="1">
              <from>
                <xdr:col>11</xdr:col>
                <xdr:colOff>104775</xdr:colOff>
                <xdr:row>0</xdr:row>
                <xdr:rowOff>161925</xdr:rowOff>
              </from>
              <to>
                <xdr:col>15</xdr:col>
                <xdr:colOff>57150</xdr:colOff>
                <xdr:row>2</xdr:row>
                <xdr:rowOff>28575</xdr:rowOff>
              </to>
            </anchor>
          </controlPr>
        </control>
      </mc:Choice>
      <mc:Fallback>
        <control shapeId="20483" r:id="rId8" name="ComboBox2"/>
      </mc:Fallback>
    </mc:AlternateContent>
    <mc:AlternateContent xmlns:mc="http://schemas.openxmlformats.org/markup-compatibility/2006">
      <mc:Choice Requires="x14">
        <control shapeId="20484" r:id="rId10" name="Label2">
          <controlPr defaultSize="0" autoLine="0" r:id="rId11">
            <anchor moveWithCells="1">
              <from>
                <xdr:col>8</xdr:col>
                <xdr:colOff>561975</xdr:colOff>
                <xdr:row>0</xdr:row>
                <xdr:rowOff>180975</xdr:rowOff>
              </from>
              <to>
                <xdr:col>11</xdr:col>
                <xdr:colOff>95250</xdr:colOff>
                <xdr:row>2</xdr:row>
                <xdr:rowOff>47625</xdr:rowOff>
              </to>
            </anchor>
          </controlPr>
        </control>
      </mc:Choice>
      <mc:Fallback>
        <control shapeId="20484" r:id="rId10" name="Label2"/>
      </mc:Fallback>
    </mc:AlternateContent>
    <mc:AlternateContent xmlns:mc="http://schemas.openxmlformats.org/markup-compatibility/2006">
      <mc:Choice Requires="x14">
        <control shapeId="20485" r:id="rId12" name="CommandButton1">
          <controlPr defaultSize="0" autoLine="0" r:id="rId13">
            <anchor moveWithCells="1">
              <from>
                <xdr:col>0</xdr:col>
                <xdr:colOff>190500</xdr:colOff>
                <xdr:row>0</xdr:row>
                <xdr:rowOff>85725</xdr:rowOff>
              </from>
              <to>
                <xdr:col>2</xdr:col>
                <xdr:colOff>419100</xdr:colOff>
                <xdr:row>2</xdr:row>
                <xdr:rowOff>47625</xdr:rowOff>
              </to>
            </anchor>
          </controlPr>
        </control>
      </mc:Choice>
      <mc:Fallback>
        <control shapeId="20485" r:id="rId12"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sqref="A1:XFD1"/>
    </sheetView>
  </sheetViews>
  <sheetFormatPr defaultRowHeight="15" x14ac:dyDescent="0.25"/>
  <cols>
    <col min="1" max="1" width="23.28515625" customWidth="1"/>
    <col min="2" max="2" width="21.28515625" customWidth="1"/>
    <col min="3" max="3" width="29.42578125" customWidth="1"/>
    <col min="4" max="9" width="9.42578125" customWidth="1"/>
  </cols>
  <sheetData/>
  <dataConsolidate/>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sqref="A1:XFD1"/>
    </sheetView>
  </sheetViews>
  <sheetFormatPr defaultRowHeight="15" x14ac:dyDescent="0.25"/>
  <cols>
    <col min="1" max="1" width="23.28515625" customWidth="1"/>
    <col min="2" max="2" width="21.28515625" customWidth="1"/>
    <col min="3" max="3" width="29.42578125" customWidth="1"/>
    <col min="4" max="9" width="9.42578125" customWidth="1"/>
  </cols>
  <sheetData/>
  <dataConsolidate/>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8"/>
  <sheetViews>
    <sheetView zoomScale="70" zoomScaleNormal="70" workbookViewId="0">
      <selection activeCell="B8" sqref="B8:D8"/>
    </sheetView>
  </sheetViews>
  <sheetFormatPr defaultRowHeight="15" x14ac:dyDescent="0.25"/>
  <cols>
    <col min="1" max="1" width="2.85546875" style="171" customWidth="1"/>
    <col min="2" max="2" width="9.85546875" style="153" customWidth="1"/>
    <col min="3" max="3" width="21.85546875" style="153" customWidth="1"/>
    <col min="4" max="4" width="15.140625" style="171" customWidth="1"/>
    <col min="5" max="5" width="20.85546875" style="153" customWidth="1"/>
    <col min="6" max="6" width="22.5703125" style="155" customWidth="1"/>
    <col min="7" max="8" width="14.140625" style="154" customWidth="1"/>
    <col min="9" max="9" width="26.28515625" style="155" customWidth="1"/>
    <col min="10" max="10" width="12.7109375" style="155" customWidth="1"/>
    <col min="11" max="11" width="18" style="155" customWidth="1"/>
    <col min="12" max="16" width="18" style="153" customWidth="1"/>
    <col min="17" max="17" width="23.42578125" style="153" customWidth="1"/>
    <col min="18" max="16384" width="9.140625" style="153"/>
  </cols>
  <sheetData>
    <row r="1" spans="1:16" customFormat="1" x14ac:dyDescent="0.25">
      <c r="A1" s="165"/>
      <c r="B1" s="160" t="s">
        <v>411</v>
      </c>
      <c r="C1" s="165"/>
      <c r="D1" s="165"/>
      <c r="E1" s="165"/>
      <c r="F1" s="165"/>
      <c r="G1" s="165"/>
      <c r="H1" s="165"/>
      <c r="I1" s="165"/>
      <c r="J1" s="165"/>
      <c r="K1" s="165"/>
      <c r="L1" s="165"/>
      <c r="M1" s="165"/>
      <c r="N1" s="163"/>
      <c r="O1" s="165"/>
      <c r="P1" s="165"/>
    </row>
    <row r="2" spans="1:16" customFormat="1" x14ac:dyDescent="0.25">
      <c r="A2" s="165"/>
      <c r="B2" s="160"/>
      <c r="C2" s="165"/>
      <c r="D2" s="165"/>
      <c r="E2" s="165"/>
      <c r="F2" s="165"/>
      <c r="G2" s="165"/>
      <c r="H2" s="165"/>
      <c r="I2" s="165"/>
      <c r="J2" s="165"/>
      <c r="K2" s="165"/>
      <c r="L2" s="165"/>
      <c r="M2" s="165"/>
      <c r="N2" s="163"/>
      <c r="O2" s="165"/>
      <c r="P2" s="165"/>
    </row>
    <row r="3" spans="1:16" customFormat="1" x14ac:dyDescent="0.25">
      <c r="A3" s="165"/>
      <c r="B3" s="160" t="s">
        <v>409</v>
      </c>
      <c r="C3" s="183"/>
      <c r="D3" s="183"/>
      <c r="E3" s="165"/>
      <c r="F3" s="165"/>
      <c r="G3" s="165"/>
      <c r="H3" s="165"/>
      <c r="I3" s="165"/>
      <c r="J3" s="165"/>
      <c r="K3" s="165"/>
      <c r="L3" s="165"/>
      <c r="M3" s="165"/>
      <c r="N3" s="163"/>
      <c r="O3" s="165"/>
      <c r="P3" s="165"/>
    </row>
    <row r="4" spans="1:16" customFormat="1" x14ac:dyDescent="0.25">
      <c r="A4" s="165"/>
      <c r="B4" s="160" t="s">
        <v>410</v>
      </c>
      <c r="C4" s="186" t="s">
        <v>422</v>
      </c>
      <c r="D4" s="186"/>
      <c r="E4" s="165"/>
      <c r="F4" s="165"/>
      <c r="G4" s="165"/>
      <c r="H4" s="165"/>
      <c r="I4" s="165"/>
      <c r="J4" s="165"/>
      <c r="K4" s="165"/>
      <c r="L4" s="165"/>
      <c r="M4" s="165"/>
      <c r="N4" s="163"/>
      <c r="O4" s="165"/>
      <c r="P4" s="165"/>
    </row>
    <row r="5" spans="1:16" customFormat="1" ht="15.75" thickBot="1" x14ac:dyDescent="0.3">
      <c r="A5" s="165"/>
      <c r="B5" s="160"/>
      <c r="C5" s="165"/>
      <c r="D5" s="165"/>
      <c r="E5" s="165"/>
      <c r="F5" s="165"/>
      <c r="G5" s="165"/>
      <c r="H5" s="165"/>
      <c r="I5" s="165"/>
      <c r="J5" s="165"/>
      <c r="K5" s="165"/>
      <c r="L5" s="165"/>
      <c r="M5" s="165"/>
      <c r="N5" s="163"/>
      <c r="O5" s="165"/>
      <c r="P5" s="165"/>
    </row>
    <row r="6" spans="1:16" customFormat="1" ht="48.75" customHeight="1" thickBot="1" x14ac:dyDescent="0.3">
      <c r="A6" s="165"/>
      <c r="B6" s="176" t="s">
        <v>392</v>
      </c>
      <c r="C6" s="178" t="s">
        <v>424</v>
      </c>
      <c r="D6" s="178" t="s">
        <v>423</v>
      </c>
      <c r="E6" s="177" t="s">
        <v>37</v>
      </c>
      <c r="F6" s="178" t="s">
        <v>412</v>
      </c>
      <c r="G6" s="177" t="s">
        <v>39</v>
      </c>
      <c r="H6" s="177" t="s">
        <v>40</v>
      </c>
      <c r="I6" s="177" t="s">
        <v>1</v>
      </c>
      <c r="J6" s="178" t="s">
        <v>393</v>
      </c>
      <c r="K6" s="178" t="s">
        <v>406</v>
      </c>
      <c r="L6" s="178" t="s">
        <v>407</v>
      </c>
      <c r="M6" s="178" t="s">
        <v>408</v>
      </c>
      <c r="N6" s="178" t="str">
        <f>"Incurred Expense as at " &amp; C4</f>
        <v>Incurred Expense as at 31 Jan 2013</v>
      </c>
      <c r="O6" s="178" t="str">
        <f>"Accrual required as at " &amp; C4</f>
        <v>Accrual required as at 31 Jan 2013</v>
      </c>
      <c r="P6" s="179" t="str">
        <f>"Prepayment acct balance as at " &amp; C4</f>
        <v>Prepayment acct balance as at 31 Jan 2013</v>
      </c>
    </row>
    <row r="7" spans="1:16" s="180" customFormat="1" x14ac:dyDescent="0.25">
      <c r="B7" s="181"/>
      <c r="C7" s="168"/>
      <c r="D7" s="168"/>
      <c r="E7" s="168"/>
      <c r="F7" s="161"/>
      <c r="G7" s="162"/>
      <c r="H7" s="162"/>
      <c r="I7" s="161"/>
      <c r="J7" s="161"/>
      <c r="K7" s="161"/>
      <c r="L7" s="161"/>
      <c r="M7" s="161"/>
      <c r="N7" s="161"/>
      <c r="O7" s="161"/>
      <c r="P7" s="182"/>
    </row>
    <row r="8" spans="1:16" x14ac:dyDescent="0.25">
      <c r="B8" s="165"/>
      <c r="C8" s="165"/>
      <c r="D8" s="165"/>
      <c r="E8" s="165"/>
      <c r="F8" s="165"/>
      <c r="G8" s="165"/>
      <c r="H8" s="165"/>
      <c r="I8" s="165"/>
      <c r="J8" s="165"/>
      <c r="K8" s="165"/>
      <c r="L8" s="165"/>
      <c r="M8" s="165"/>
      <c r="N8" s="163"/>
      <c r="O8" s="165"/>
      <c r="P8" s="165"/>
    </row>
  </sheetData>
  <dataConsolidate/>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28"/>
  <sheetViews>
    <sheetView showGridLines="0" zoomScale="55" zoomScaleNormal="55" zoomScaleSheetLayoutView="46" workbookViewId="0">
      <selection activeCell="B8" sqref="B8:D8"/>
    </sheetView>
  </sheetViews>
  <sheetFormatPr defaultColWidth="7.85546875" defaultRowHeight="18.75" x14ac:dyDescent="0.3"/>
  <cols>
    <col min="1" max="1" width="10" style="9" customWidth="1"/>
    <col min="2" max="2" width="59.140625" style="9" customWidth="1"/>
    <col min="3" max="3" width="20.28515625" style="9" customWidth="1"/>
    <col min="4" max="4" width="5.5703125" style="9" customWidth="1"/>
    <col min="5" max="5" width="33.7109375" style="107" customWidth="1"/>
    <col min="6" max="6" width="10" style="108" customWidth="1"/>
    <col min="7" max="7" width="46" style="95" customWidth="1"/>
    <col min="8" max="8" width="13" style="95" customWidth="1"/>
    <col min="9" max="9" width="25.140625" style="96" customWidth="1"/>
    <col min="10" max="10" width="4.5703125" style="97" customWidth="1"/>
    <col min="11" max="11" width="28.140625" customWidth="1"/>
    <col min="12" max="12" width="23" style="9" customWidth="1"/>
    <col min="13" max="16384" width="7.85546875" style="9"/>
  </cols>
  <sheetData>
    <row r="1" spans="1:14" ht="23.25" customHeight="1" x14ac:dyDescent="0.25">
      <c r="B1" s="541" t="s">
        <v>388</v>
      </c>
      <c r="C1" s="541"/>
      <c r="D1" s="541"/>
      <c r="E1" s="541"/>
      <c r="F1" s="541"/>
      <c r="G1" s="541"/>
      <c r="H1" s="541"/>
      <c r="I1" s="541"/>
      <c r="J1" s="10"/>
    </row>
    <row r="2" spans="1:14" ht="18" customHeight="1" x14ac:dyDescent="0.25">
      <c r="B2" s="541"/>
      <c r="C2" s="541"/>
      <c r="D2" s="541"/>
      <c r="E2" s="541"/>
      <c r="F2" s="541"/>
      <c r="G2" s="541"/>
      <c r="H2" s="541"/>
      <c r="I2" s="541"/>
      <c r="J2" s="10"/>
    </row>
    <row r="3" spans="1:14" ht="18" customHeight="1" x14ac:dyDescent="0.25">
      <c r="B3" s="541"/>
      <c r="C3" s="541"/>
      <c r="D3" s="541"/>
      <c r="E3" s="541"/>
      <c r="F3" s="541"/>
      <c r="G3" s="541"/>
      <c r="H3" s="541"/>
      <c r="I3" s="541"/>
      <c r="J3" s="10"/>
    </row>
    <row r="4" spans="1:14" ht="22.5" customHeight="1" x14ac:dyDescent="0.25">
      <c r="B4" s="541"/>
      <c r="C4" s="541"/>
      <c r="D4" s="541"/>
      <c r="E4" s="541"/>
      <c r="F4" s="541"/>
      <c r="G4" s="541"/>
      <c r="H4" s="541"/>
      <c r="I4" s="541"/>
      <c r="J4" s="10"/>
      <c r="N4" s="11"/>
    </row>
    <row r="5" spans="1:14" ht="36" customHeight="1" x14ac:dyDescent="0.25">
      <c r="A5" s="542" t="s">
        <v>43</v>
      </c>
      <c r="B5" s="543"/>
      <c r="C5" s="12" t="s">
        <v>399</v>
      </c>
      <c r="D5" s="13"/>
      <c r="E5" s="14"/>
      <c r="F5" s="15"/>
      <c r="G5" s="13"/>
      <c r="H5" s="13"/>
      <c r="I5" s="16"/>
      <c r="J5" s="17"/>
    </row>
    <row r="6" spans="1:14" ht="9.9499999999999993" customHeight="1" x14ac:dyDescent="0.25">
      <c r="A6" s="13"/>
      <c r="B6" s="18"/>
      <c r="C6" s="19"/>
      <c r="D6" s="13"/>
      <c r="E6" s="157"/>
      <c r="F6" s="15"/>
      <c r="G6" s="13"/>
      <c r="H6" s="13"/>
      <c r="I6" s="16"/>
      <c r="J6" s="17"/>
    </row>
    <row r="7" spans="1:14" ht="31.5" customHeight="1" x14ac:dyDescent="0.25">
      <c r="A7" s="549" t="s">
        <v>398</v>
      </c>
      <c r="B7" s="550"/>
      <c r="C7" s="551"/>
      <c r="D7" s="27"/>
      <c r="E7" s="33" t="s">
        <v>46</v>
      </c>
      <c r="F7" s="544"/>
      <c r="G7" s="545"/>
      <c r="H7" s="545"/>
      <c r="I7" s="546"/>
      <c r="J7" s="23"/>
    </row>
    <row r="8" spans="1:14" s="31" customFormat="1" ht="9.9499999999999993" customHeight="1" x14ac:dyDescent="0.25">
      <c r="A8" s="552"/>
      <c r="B8" s="553"/>
      <c r="C8" s="554"/>
      <c r="D8" s="27"/>
      <c r="E8" s="25"/>
      <c r="F8" s="28"/>
      <c r="G8" s="29"/>
      <c r="H8" s="29"/>
      <c r="I8" s="29"/>
      <c r="J8" s="30"/>
      <c r="K8"/>
    </row>
    <row r="9" spans="1:14" ht="30" customHeight="1" x14ac:dyDescent="0.25">
      <c r="A9" s="555"/>
      <c r="B9" s="556"/>
      <c r="C9" s="557"/>
      <c r="D9" s="32"/>
      <c r="E9" s="33" t="s">
        <v>48</v>
      </c>
      <c r="F9" s="547"/>
      <c r="G9" s="548"/>
      <c r="H9" s="548"/>
      <c r="I9" s="548"/>
      <c r="J9" s="23"/>
    </row>
    <row r="10" spans="1:14" s="31" customFormat="1" ht="9.9499999999999993" customHeight="1" x14ac:dyDescent="0.25">
      <c r="A10" s="159"/>
      <c r="B10" s="159"/>
      <c r="C10" s="26"/>
      <c r="D10" s="27"/>
      <c r="E10" s="25"/>
      <c r="F10" s="28"/>
      <c r="G10" s="29"/>
      <c r="H10" s="29"/>
      <c r="I10" s="29"/>
      <c r="J10" s="30"/>
      <c r="K10"/>
    </row>
    <row r="11" spans="1:14" s="35" customFormat="1" ht="31.5" customHeight="1" x14ac:dyDescent="0.25">
      <c r="A11" s="575" t="s">
        <v>49</v>
      </c>
      <c r="B11" s="576"/>
      <c r="C11" s="131"/>
      <c r="D11" s="34"/>
      <c r="E11" s="33" t="s">
        <v>416</v>
      </c>
      <c r="F11" s="558"/>
      <c r="G11" s="558"/>
      <c r="H11" s="558"/>
      <c r="I11" s="558"/>
      <c r="J11" s="23"/>
    </row>
    <row r="12" spans="1:14" s="35" customFormat="1" ht="9.9499999999999993" customHeight="1" x14ac:dyDescent="0.25">
      <c r="A12" s="36"/>
      <c r="B12" s="36"/>
      <c r="C12" s="43"/>
      <c r="D12" s="27"/>
      <c r="E12" s="37"/>
      <c r="F12" s="38"/>
      <c r="G12" s="39"/>
      <c r="H12" s="39"/>
      <c r="I12" s="40"/>
      <c r="J12" s="41"/>
    </row>
    <row r="13" spans="1:14" s="35" customFormat="1" ht="30" customHeight="1" x14ac:dyDescent="0.25">
      <c r="A13" s="37" t="s">
        <v>51</v>
      </c>
      <c r="B13" s="36"/>
      <c r="C13" s="109">
        <f>I25</f>
        <v>0</v>
      </c>
      <c r="D13" s="32"/>
      <c r="E13" s="25"/>
      <c r="F13" s="127" t="s">
        <v>417</v>
      </c>
      <c r="G13" s="151"/>
      <c r="H13" s="127" t="s">
        <v>418</v>
      </c>
      <c r="I13" s="152"/>
      <c r="J13" s="23"/>
    </row>
    <row r="14" spans="1:14" s="35" customFormat="1" ht="9.9499999999999993" customHeight="1" x14ac:dyDescent="0.25">
      <c r="A14" s="36"/>
      <c r="B14" s="36"/>
      <c r="C14" s="43"/>
      <c r="D14" s="27"/>
      <c r="E14" s="37"/>
      <c r="F14" s="38"/>
      <c r="G14" s="39"/>
      <c r="H14" s="39"/>
      <c r="I14" s="40"/>
      <c r="J14" s="41"/>
      <c r="K14"/>
    </row>
    <row r="15" spans="1:14" s="35" customFormat="1" ht="31.5" customHeight="1" x14ac:dyDescent="0.25">
      <c r="A15" s="37" t="s">
        <v>52</v>
      </c>
      <c r="B15" s="36"/>
      <c r="C15" s="109">
        <f>I26</f>
        <v>0</v>
      </c>
      <c r="D15" s="42"/>
      <c r="E15" s="33" t="s">
        <v>53</v>
      </c>
      <c r="F15" s="547" t="s">
        <v>54</v>
      </c>
      <c r="G15" s="548"/>
      <c r="H15" s="548"/>
      <c r="I15" s="548"/>
      <c r="J15" s="23"/>
      <c r="K15"/>
    </row>
    <row r="16" spans="1:14" s="35" customFormat="1" ht="9.9499999999999993" customHeight="1" x14ac:dyDescent="0.25">
      <c r="A16" s="36"/>
      <c r="B16" s="36"/>
      <c r="C16" s="43"/>
      <c r="D16" s="27"/>
      <c r="E16" s="37"/>
      <c r="F16" s="38"/>
      <c r="G16" s="39"/>
      <c r="H16" s="39"/>
      <c r="I16" s="40"/>
      <c r="J16" s="41"/>
      <c r="K16"/>
    </row>
    <row r="17" spans="1:11" s="35" customFormat="1" ht="34.5" customHeight="1" x14ac:dyDescent="0.25">
      <c r="A17" s="575" t="s">
        <v>55</v>
      </c>
      <c r="B17" s="577"/>
      <c r="C17" s="109">
        <f>I27</f>
        <v>0</v>
      </c>
      <c r="D17" s="42"/>
      <c r="E17" s="33" t="s">
        <v>389</v>
      </c>
      <c r="F17" s="127" t="s">
        <v>57</v>
      </c>
      <c r="G17" s="151"/>
      <c r="H17" s="127" t="s">
        <v>58</v>
      </c>
      <c r="I17" s="152"/>
      <c r="J17" s="23"/>
      <c r="K17"/>
    </row>
    <row r="18" spans="1:11" s="35" customFormat="1" ht="9.9499999999999993" customHeight="1" x14ac:dyDescent="0.25">
      <c r="C18" s="56"/>
      <c r="D18" s="44"/>
      <c r="E18" s="37"/>
      <c r="F18" s="38"/>
      <c r="G18" s="39"/>
      <c r="H18" s="45"/>
      <c r="I18" s="40"/>
      <c r="J18" s="41"/>
      <c r="K18"/>
    </row>
    <row r="19" spans="1:11" s="35" customFormat="1" ht="34.5" customHeight="1" x14ac:dyDescent="0.25">
      <c r="A19"/>
      <c r="B19"/>
      <c r="C19"/>
      <c r="D19" s="42"/>
      <c r="E19" s="33" t="s">
        <v>61</v>
      </c>
      <c r="F19" s="544"/>
      <c r="G19" s="545"/>
      <c r="H19" s="545"/>
      <c r="I19" s="546"/>
      <c r="J19" s="23"/>
      <c r="K19"/>
    </row>
    <row r="20" spans="1:11" s="35" customFormat="1" ht="15.75" customHeight="1" x14ac:dyDescent="0.25">
      <c r="A20" s="13"/>
      <c r="B20" s="13"/>
      <c r="C20" s="13"/>
      <c r="D20" s="27"/>
      <c r="E20" s="578"/>
      <c r="F20" s="578"/>
      <c r="G20" s="579"/>
      <c r="H20" s="579"/>
      <c r="I20" s="579"/>
      <c r="J20" s="46"/>
      <c r="K20"/>
    </row>
    <row r="21" spans="1:11" s="35" customFormat="1" ht="9.9499999999999993" customHeight="1" x14ac:dyDescent="0.25">
      <c r="A21" s="13"/>
      <c r="B21" s="559"/>
      <c r="C21" s="559"/>
      <c r="D21" s="559"/>
      <c r="E21" s="559"/>
      <c r="F21" s="559"/>
      <c r="G21" s="560"/>
      <c r="H21" s="560"/>
      <c r="I21" s="50"/>
      <c r="J21" s="51"/>
      <c r="K21"/>
    </row>
    <row r="22" spans="1:11" s="56" customFormat="1" ht="26.25" customHeight="1" x14ac:dyDescent="0.3">
      <c r="A22" s="53"/>
      <c r="B22" s="561" t="s">
        <v>68</v>
      </c>
      <c r="C22" s="562"/>
      <c r="D22" s="562"/>
      <c r="E22" s="562"/>
      <c r="F22" s="562"/>
      <c r="G22" s="562"/>
      <c r="H22" s="563"/>
      <c r="I22" s="138" t="s">
        <v>70</v>
      </c>
      <c r="J22" s="54"/>
      <c r="K22"/>
    </row>
    <row r="23" spans="1:11" ht="25.5" customHeight="1" x14ac:dyDescent="0.25">
      <c r="A23" s="142"/>
      <c r="B23" s="535"/>
      <c r="C23" s="536"/>
      <c r="D23" s="536"/>
      <c r="E23" s="536"/>
      <c r="F23" s="536"/>
      <c r="G23" s="156"/>
      <c r="H23" s="141"/>
      <c r="I23" s="144"/>
      <c r="J23" s="57"/>
    </row>
    <row r="24" spans="1:11" ht="25.5" customHeight="1" x14ac:dyDescent="0.25">
      <c r="A24" s="142"/>
      <c r="B24" s="535"/>
      <c r="C24" s="536"/>
      <c r="D24" s="536"/>
      <c r="E24" s="536"/>
      <c r="F24" s="536"/>
      <c r="G24" s="156"/>
      <c r="H24" s="141"/>
      <c r="I24" s="145"/>
      <c r="J24" s="57"/>
    </row>
    <row r="25" spans="1:11" ht="25.5" customHeight="1" x14ac:dyDescent="0.25">
      <c r="A25" s="566"/>
      <c r="B25" s="567"/>
      <c r="C25" s="567"/>
      <c r="D25" s="567"/>
      <c r="E25" s="567"/>
      <c r="F25" s="568"/>
      <c r="G25" s="564" t="s">
        <v>65</v>
      </c>
      <c r="H25" s="565"/>
      <c r="I25" s="120"/>
      <c r="J25" s="57"/>
    </row>
    <row r="26" spans="1:11" ht="28.5" customHeight="1" x14ac:dyDescent="0.25">
      <c r="A26" s="569"/>
      <c r="B26" s="570"/>
      <c r="C26" s="570"/>
      <c r="D26" s="570"/>
      <c r="E26" s="570"/>
      <c r="F26" s="571"/>
      <c r="G26" s="537" t="s">
        <v>52</v>
      </c>
      <c r="H26" s="538"/>
      <c r="I26" s="120">
        <f>I25*0.1</f>
        <v>0</v>
      </c>
      <c r="J26" s="58"/>
    </row>
    <row r="27" spans="1:11" ht="28.5" customHeight="1" thickBot="1" x14ac:dyDescent="0.3">
      <c r="A27" s="572"/>
      <c r="B27" s="573"/>
      <c r="C27" s="573"/>
      <c r="D27" s="573"/>
      <c r="E27" s="573"/>
      <c r="F27" s="574"/>
      <c r="G27" s="539" t="s">
        <v>76</v>
      </c>
      <c r="H27" s="540"/>
      <c r="I27" s="121">
        <f>I25+I26</f>
        <v>0</v>
      </c>
      <c r="J27" s="58"/>
    </row>
    <row r="28" spans="1:11" ht="52.5" customHeight="1" thickBot="1" x14ac:dyDescent="0.35">
      <c r="A28" s="528" t="s">
        <v>77</v>
      </c>
      <c r="B28" s="529"/>
      <c r="C28" s="530"/>
      <c r="D28" s="531"/>
      <c r="E28" s="531"/>
      <c r="F28" s="532"/>
      <c r="G28" s="59" t="s">
        <v>78</v>
      </c>
      <c r="H28" s="533"/>
      <c r="I28" s="534"/>
      <c r="J28" s="132"/>
    </row>
  </sheetData>
  <dataConsolidate/>
  <mergeCells count="22">
    <mergeCell ref="F11:I11"/>
    <mergeCell ref="B21:H21"/>
    <mergeCell ref="B22:H22"/>
    <mergeCell ref="G25:H25"/>
    <mergeCell ref="A25:F27"/>
    <mergeCell ref="A11:B11"/>
    <mergeCell ref="F15:I15"/>
    <mergeCell ref="A17:B17"/>
    <mergeCell ref="F19:I19"/>
    <mergeCell ref="E20:I20"/>
    <mergeCell ref="B1:I4"/>
    <mergeCell ref="A5:B5"/>
    <mergeCell ref="F7:I7"/>
    <mergeCell ref="F9:I9"/>
    <mergeCell ref="A7:C9"/>
    <mergeCell ref="A28:B28"/>
    <mergeCell ref="C28:F28"/>
    <mergeCell ref="H28:I28"/>
    <mergeCell ref="B23:F23"/>
    <mergeCell ref="B24:F24"/>
    <mergeCell ref="G26:H26"/>
    <mergeCell ref="G27:H27"/>
  </mergeCells>
  <dataValidations count="1">
    <dataValidation type="date" allowBlank="1" showInputMessage="1" showErrorMessage="1" sqref="G17 I17 G13 I13">
      <formula1>40909</formula1>
      <formula2>42735</formula2>
    </dataValidation>
  </dataValidations>
  <printOptions horizontalCentered="1" verticalCentered="1"/>
  <pageMargins left="0" right="0" top="0" bottom="0" header="0" footer="0"/>
  <pageSetup paperSize="9" scale="37"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24"/>
  <sheetViews>
    <sheetView workbookViewId="0">
      <selection activeCell="B8" sqref="B8:D8"/>
    </sheetView>
  </sheetViews>
  <sheetFormatPr defaultRowHeight="15" x14ac:dyDescent="0.25"/>
  <cols>
    <col min="1" max="1" width="23.28515625" bestFit="1" customWidth="1"/>
    <col min="2" max="2" width="36.85546875" customWidth="1"/>
    <col min="3" max="3" width="20.5703125" customWidth="1"/>
    <col min="4" max="4" width="17.140625" customWidth="1"/>
  </cols>
  <sheetData>
    <row r="1" spans="1:6" ht="18.75" x14ac:dyDescent="0.3">
      <c r="A1" s="584" t="s">
        <v>413</v>
      </c>
      <c r="B1" s="584"/>
      <c r="C1" s="584"/>
      <c r="D1" s="584"/>
    </row>
    <row r="2" spans="1:6" x14ac:dyDescent="0.25">
      <c r="A2" s="164"/>
      <c r="B2" s="164"/>
      <c r="C2" s="164"/>
      <c r="D2" s="164"/>
    </row>
    <row r="3" spans="1:6" ht="9" customHeight="1" x14ac:dyDescent="0.25">
      <c r="A3" s="165"/>
      <c r="B3" s="165"/>
      <c r="C3" s="165"/>
      <c r="D3" s="165"/>
    </row>
    <row r="4" spans="1:6" x14ac:dyDescent="0.25">
      <c r="A4" s="175" t="s">
        <v>400</v>
      </c>
      <c r="B4" s="585"/>
      <c r="C4" s="581"/>
      <c r="D4" s="582"/>
    </row>
    <row r="5" spans="1:6" ht="8.25" customHeight="1" x14ac:dyDescent="0.25">
      <c r="A5" s="165"/>
      <c r="B5" s="165"/>
      <c r="C5" s="165"/>
      <c r="D5" s="167"/>
    </row>
    <row r="6" spans="1:6" x14ac:dyDescent="0.25">
      <c r="A6" s="175" t="s">
        <v>401</v>
      </c>
      <c r="B6" s="580"/>
      <c r="C6" s="581"/>
      <c r="D6" s="582"/>
    </row>
    <row r="7" spans="1:6" ht="9.75" customHeight="1" x14ac:dyDescent="0.25">
      <c r="A7" s="165"/>
      <c r="B7" s="165"/>
      <c r="C7" s="165"/>
      <c r="D7" s="165"/>
    </row>
    <row r="8" spans="1:6" x14ac:dyDescent="0.25">
      <c r="A8" s="175" t="s">
        <v>414</v>
      </c>
      <c r="B8" s="586"/>
      <c r="C8" s="587"/>
      <c r="D8" s="588"/>
    </row>
    <row r="9" spans="1:6" x14ac:dyDescent="0.25">
      <c r="A9" s="165"/>
      <c r="B9" s="165"/>
      <c r="C9" s="165"/>
      <c r="D9" s="167"/>
    </row>
    <row r="10" spans="1:6" s="165" customFormat="1" x14ac:dyDescent="0.25">
      <c r="A10" s="175" t="s">
        <v>415</v>
      </c>
      <c r="B10" s="586"/>
      <c r="C10" s="587"/>
      <c r="D10" s="588"/>
    </row>
    <row r="11" spans="1:6" s="165" customFormat="1" x14ac:dyDescent="0.25">
      <c r="D11" s="167"/>
    </row>
    <row r="12" spans="1:6" x14ac:dyDescent="0.25">
      <c r="A12" s="166" t="s">
        <v>394</v>
      </c>
      <c r="B12" s="166"/>
      <c r="C12" s="165"/>
      <c r="D12" s="165"/>
    </row>
    <row r="13" spans="1:6" x14ac:dyDescent="0.25">
      <c r="A13" s="165"/>
      <c r="B13" s="194" t="s">
        <v>395</v>
      </c>
      <c r="C13" s="195"/>
      <c r="D13" s="174" t="s">
        <v>396</v>
      </c>
    </row>
    <row r="14" spans="1:6" x14ac:dyDescent="0.25">
      <c r="A14" s="165"/>
      <c r="B14" s="196"/>
      <c r="C14" s="197"/>
      <c r="D14" s="169"/>
    </row>
    <row r="15" spans="1:6" x14ac:dyDescent="0.25">
      <c r="A15" s="165"/>
      <c r="B15" s="196"/>
      <c r="C15" s="197"/>
      <c r="D15" s="169"/>
      <c r="E15" s="158"/>
      <c r="F15" s="158"/>
    </row>
    <row r="16" spans="1:6" x14ac:dyDescent="0.25">
      <c r="A16" s="165"/>
      <c r="B16" s="165"/>
      <c r="C16" s="165" t="s">
        <v>397</v>
      </c>
      <c r="D16" s="172">
        <f>SUM(D14:D15)</f>
        <v>0</v>
      </c>
    </row>
    <row r="17" spans="1:4" x14ac:dyDescent="0.25">
      <c r="A17" s="165"/>
      <c r="B17" s="165"/>
      <c r="C17" s="165" t="s">
        <v>52</v>
      </c>
      <c r="D17" s="170">
        <f>D16*0.1</f>
        <v>0</v>
      </c>
    </row>
    <row r="18" spans="1:4" ht="15.75" thickBot="1" x14ac:dyDescent="0.3">
      <c r="A18" s="165"/>
      <c r="B18" s="165"/>
      <c r="C18" s="165" t="s">
        <v>402</v>
      </c>
      <c r="D18" s="173">
        <f>SUM(D16:D17)</f>
        <v>0</v>
      </c>
    </row>
    <row r="19" spans="1:4" ht="15.75" thickTop="1" x14ac:dyDescent="0.25">
      <c r="A19" s="165"/>
      <c r="B19" s="165"/>
      <c r="C19" s="165"/>
      <c r="D19" s="165"/>
    </row>
    <row r="20" spans="1:4" x14ac:dyDescent="0.25">
      <c r="A20" s="175" t="s">
        <v>403</v>
      </c>
      <c r="B20" s="580"/>
      <c r="C20" s="581"/>
      <c r="D20" s="582"/>
    </row>
    <row r="21" spans="1:4" x14ac:dyDescent="0.25">
      <c r="A21" s="165"/>
      <c r="B21" s="165"/>
      <c r="C21" s="165"/>
      <c r="D21" s="165"/>
    </row>
    <row r="22" spans="1:4" x14ac:dyDescent="0.25">
      <c r="A22" s="175" t="s">
        <v>404</v>
      </c>
      <c r="B22" s="580"/>
      <c r="C22" s="581"/>
      <c r="D22" s="582"/>
    </row>
    <row r="23" spans="1:4" x14ac:dyDescent="0.25">
      <c r="A23" s="164"/>
      <c r="B23" s="164"/>
      <c r="C23" s="164"/>
      <c r="D23" s="164"/>
    </row>
    <row r="24" spans="1:4" x14ac:dyDescent="0.25">
      <c r="A24" s="175" t="s">
        <v>405</v>
      </c>
      <c r="B24" s="583"/>
      <c r="C24" s="583"/>
      <c r="D24" s="583"/>
    </row>
  </sheetData>
  <dataConsolidate/>
  <mergeCells count="8">
    <mergeCell ref="B22:D22"/>
    <mergeCell ref="B24:D24"/>
    <mergeCell ref="A1:D1"/>
    <mergeCell ref="B4:D4"/>
    <mergeCell ref="B6:D6"/>
    <mergeCell ref="B8:D8"/>
    <mergeCell ref="B20:D20"/>
    <mergeCell ref="B10:D10"/>
  </mergeCells>
  <pageMargins left="0.7" right="0.7" top="0.75" bottom="0.75" header="0.3" footer="0.3"/>
  <pageSetup paperSize="9" orientation="portrait" horizontalDpi="0" verticalDpi="0" r:id="rId1"/>
  <ignoredErrors>
    <ignoredError sqref="D17"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J8"/>
  <sheetViews>
    <sheetView zoomScale="70" zoomScaleNormal="70" workbookViewId="0">
      <selection activeCell="C4" sqref="C4"/>
    </sheetView>
  </sheetViews>
  <sheetFormatPr defaultRowHeight="15" x14ac:dyDescent="0.25"/>
  <cols>
    <col min="1" max="1" width="2.7109375" style="171" customWidth="1"/>
    <col min="2" max="2" width="41.28515625" style="171" customWidth="1"/>
    <col min="3" max="3" width="22" style="171" customWidth="1"/>
    <col min="4" max="4" width="17" style="155" customWidth="1"/>
    <col min="5" max="5" width="17" style="154" customWidth="1"/>
    <col min="6" max="6" width="44" style="154" customWidth="1"/>
    <col min="7" max="9" width="21.7109375" style="155" customWidth="1"/>
    <col min="10" max="10" width="21.7109375" style="171" customWidth="1"/>
    <col min="11" max="16384" width="9.140625" style="171"/>
  </cols>
  <sheetData>
    <row r="1" spans="2:10" s="165" customFormat="1" x14ac:dyDescent="0.25"/>
    <row r="2" spans="2:10" s="165" customFormat="1" x14ac:dyDescent="0.25">
      <c r="B2" s="184" t="s">
        <v>419</v>
      </c>
      <c r="C2" s="185"/>
    </row>
    <row r="3" spans="2:10" s="165" customFormat="1" x14ac:dyDescent="0.25"/>
    <row r="4" spans="2:10" s="165" customFormat="1" x14ac:dyDescent="0.25">
      <c r="B4" s="184" t="s">
        <v>420</v>
      </c>
      <c r="C4" s="186" t="s">
        <v>421</v>
      </c>
    </row>
    <row r="5" spans="2:10" s="165" customFormat="1" x14ac:dyDescent="0.25"/>
    <row r="6" spans="2:10" s="165" customFormat="1" ht="15.75" thickBot="1" x14ac:dyDescent="0.3"/>
    <row r="7" spans="2:10" s="165" customFormat="1" ht="45" customHeight="1" thickBot="1" x14ac:dyDescent="0.3">
      <c r="B7" s="187" t="s">
        <v>37</v>
      </c>
      <c r="C7" s="188" t="s">
        <v>38</v>
      </c>
      <c r="D7" s="188" t="s">
        <v>39</v>
      </c>
      <c r="E7" s="188" t="s">
        <v>40</v>
      </c>
      <c r="F7" s="188" t="s">
        <v>1</v>
      </c>
      <c r="G7" s="189" t="s">
        <v>391</v>
      </c>
      <c r="H7" s="189" t="str">
        <f xml:space="preserve"> "Incurred Expenses
as at " &amp; C4</f>
        <v>Incurred Expenses
as at 31 January</v>
      </c>
      <c r="I7" s="189" t="s">
        <v>390</v>
      </c>
      <c r="J7" s="190" t="str">
        <f>"Accrual for
Period " &amp; C4</f>
        <v>Accrual for
Period 31 January</v>
      </c>
    </row>
    <row r="8" spans="2:10" x14ac:dyDescent="0.25">
      <c r="B8" s="191"/>
      <c r="C8" s="191"/>
      <c r="D8" s="192"/>
      <c r="E8" s="193"/>
      <c r="F8" s="193"/>
      <c r="G8" s="192"/>
      <c r="H8" s="192"/>
      <c r="I8" s="192"/>
      <c r="J8" s="191"/>
    </row>
  </sheetData>
  <dataConsolidate/>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268"/>
  <sheetViews>
    <sheetView showGridLines="0" zoomScale="55" zoomScaleNormal="55" zoomScaleSheetLayoutView="46" workbookViewId="0">
      <selection activeCell="F7" sqref="F7:I7"/>
    </sheetView>
  </sheetViews>
  <sheetFormatPr defaultColWidth="7.85546875" defaultRowHeight="18.75" x14ac:dyDescent="0.3"/>
  <cols>
    <col min="1" max="1" width="40.5703125" style="9" bestFit="1" customWidth="1"/>
    <col min="2" max="2" width="59.140625" style="9" customWidth="1"/>
    <col min="3" max="3" width="20.28515625" style="9" customWidth="1"/>
    <col min="4" max="4" width="5.5703125" style="9" customWidth="1"/>
    <col min="5" max="5" width="29.85546875" style="107" customWidth="1"/>
    <col min="6" max="6" width="8.42578125" style="108" customWidth="1"/>
    <col min="7" max="7" width="46" style="95" customWidth="1"/>
    <col min="8" max="8" width="13" style="95" customWidth="1"/>
    <col min="9" max="9" width="33.7109375" style="96" customWidth="1"/>
    <col min="10" max="10" width="35.28515625" style="97" customWidth="1"/>
    <col min="11" max="11" width="28.140625" style="9" customWidth="1"/>
    <col min="12" max="12" width="23" style="9" customWidth="1"/>
    <col min="13" max="16384" width="7.85546875" style="9"/>
  </cols>
  <sheetData>
    <row r="1" spans="1:14" ht="23.25" customHeight="1" thickBot="1" x14ac:dyDescent="0.3">
      <c r="B1" s="541" t="s">
        <v>41</v>
      </c>
      <c r="C1" s="541"/>
      <c r="D1" s="541"/>
      <c r="E1" s="541"/>
      <c r="F1" s="541"/>
      <c r="G1" s="541"/>
      <c r="H1" s="541"/>
      <c r="I1" s="541"/>
      <c r="J1" s="10"/>
    </row>
    <row r="2" spans="1:14" ht="18" customHeight="1" x14ac:dyDescent="0.25">
      <c r="B2" s="541"/>
      <c r="C2" s="541"/>
      <c r="D2" s="541"/>
      <c r="E2" s="541"/>
      <c r="F2" s="541"/>
      <c r="G2" s="541"/>
      <c r="H2" s="541"/>
      <c r="I2" s="541"/>
      <c r="J2" s="10"/>
      <c r="K2" s="615" t="s">
        <v>42</v>
      </c>
    </row>
    <row r="3" spans="1:14" ht="18" customHeight="1" x14ac:dyDescent="0.25">
      <c r="B3" s="541"/>
      <c r="C3" s="541"/>
      <c r="D3" s="541"/>
      <c r="E3" s="541"/>
      <c r="F3" s="541"/>
      <c r="G3" s="541"/>
      <c r="H3" s="541"/>
      <c r="I3" s="541"/>
      <c r="J3" s="10"/>
      <c r="K3" s="616"/>
    </row>
    <row r="4" spans="1:14" ht="22.5" customHeight="1" thickBot="1" x14ac:dyDescent="0.3">
      <c r="B4" s="541"/>
      <c r="C4" s="541"/>
      <c r="D4" s="541"/>
      <c r="E4" s="541"/>
      <c r="F4" s="541"/>
      <c r="G4" s="541"/>
      <c r="H4" s="541"/>
      <c r="I4" s="541"/>
      <c r="J4" s="10"/>
      <c r="K4" s="617"/>
      <c r="N4" s="11"/>
    </row>
    <row r="5" spans="1:14" ht="36" customHeight="1" x14ac:dyDescent="0.25">
      <c r="A5" s="542" t="s">
        <v>43</v>
      </c>
      <c r="B5" s="543"/>
      <c r="C5" s="12" t="s">
        <v>44</v>
      </c>
      <c r="D5" s="13"/>
      <c r="E5" s="14"/>
      <c r="F5" s="15"/>
      <c r="G5" s="13"/>
      <c r="H5" s="13"/>
      <c r="I5" s="16"/>
      <c r="J5" s="17"/>
    </row>
    <row r="6" spans="1:14" ht="9.9499999999999993" customHeight="1" x14ac:dyDescent="0.25">
      <c r="A6" s="13"/>
      <c r="B6" s="18"/>
      <c r="C6" s="19"/>
      <c r="D6" s="13"/>
      <c r="E6" s="20"/>
      <c r="F6" s="15"/>
      <c r="G6" s="13"/>
      <c r="H6" s="13"/>
      <c r="I6" s="16"/>
      <c r="J6" s="17"/>
    </row>
    <row r="7" spans="1:14" ht="31.5" customHeight="1" x14ac:dyDescent="0.25">
      <c r="A7" s="575" t="s">
        <v>45</v>
      </c>
      <c r="B7" s="576"/>
      <c r="C7" s="124"/>
      <c r="D7" s="22"/>
      <c r="E7" s="128" t="s">
        <v>46</v>
      </c>
      <c r="F7" s="618"/>
      <c r="G7" s="619"/>
      <c r="H7" s="619"/>
      <c r="I7" s="620"/>
      <c r="J7" s="23"/>
    </row>
    <row r="8" spans="1:14" s="31" customFormat="1" ht="9.9499999999999993" customHeight="1" x14ac:dyDescent="0.25">
      <c r="A8" s="24"/>
      <c r="B8" s="25"/>
      <c r="C8" s="26"/>
      <c r="D8" s="27"/>
      <c r="E8" s="25"/>
      <c r="F8" s="28"/>
      <c r="G8" s="29"/>
      <c r="H8" s="29"/>
      <c r="I8" s="29"/>
      <c r="J8" s="30"/>
    </row>
    <row r="9" spans="1:14" ht="30" customHeight="1" x14ac:dyDescent="0.25">
      <c r="A9" s="575" t="s">
        <v>47</v>
      </c>
      <c r="B9" s="577"/>
      <c r="C9" s="21"/>
      <c r="D9" s="32"/>
      <c r="E9" s="126" t="s">
        <v>48</v>
      </c>
      <c r="F9" s="618"/>
      <c r="G9" s="619"/>
      <c r="H9" s="619"/>
      <c r="I9" s="620"/>
      <c r="J9" s="23"/>
    </row>
    <row r="10" spans="1:14" s="31" customFormat="1" ht="9.9499999999999993" customHeight="1" x14ac:dyDescent="0.25">
      <c r="A10" s="577"/>
      <c r="B10" s="577"/>
      <c r="C10" s="26"/>
      <c r="D10" s="27"/>
      <c r="E10" s="25"/>
      <c r="F10" s="28"/>
      <c r="G10" s="29"/>
      <c r="H10" s="29"/>
      <c r="I10" s="29"/>
      <c r="J10" s="30"/>
    </row>
    <row r="11" spans="1:14" s="35" customFormat="1" ht="31.5" customHeight="1" x14ac:dyDescent="0.25">
      <c r="A11" s="575" t="s">
        <v>49</v>
      </c>
      <c r="B11" s="576"/>
      <c r="C11" s="125" t="s">
        <v>50</v>
      </c>
      <c r="D11" s="34"/>
      <c r="E11"/>
      <c r="F11"/>
      <c r="G11"/>
      <c r="H11"/>
      <c r="I11"/>
      <c r="J11" s="23"/>
    </row>
    <row r="12" spans="1:14" s="35" customFormat="1" ht="9.9499999999999993" customHeight="1" thickBot="1" x14ac:dyDescent="0.3">
      <c r="A12" s="36"/>
      <c r="B12" s="36"/>
      <c r="C12" s="43"/>
      <c r="D12" s="27"/>
      <c r="E12"/>
      <c r="F12"/>
      <c r="G12"/>
      <c r="H12"/>
      <c r="I12"/>
      <c r="J12" s="41"/>
    </row>
    <row r="13" spans="1:14" s="35" customFormat="1" ht="30" customHeight="1" x14ac:dyDescent="0.25">
      <c r="A13" s="37" t="s">
        <v>51</v>
      </c>
      <c r="B13" s="36"/>
      <c r="C13" s="109">
        <f>H22</f>
        <v>0</v>
      </c>
      <c r="D13" s="32"/>
      <c r="E13"/>
      <c r="F13"/>
      <c r="G13"/>
      <c r="H13"/>
      <c r="I13"/>
      <c r="J13" s="23"/>
      <c r="K13" s="589" t="s">
        <v>62</v>
      </c>
    </row>
    <row r="14" spans="1:14" s="35" customFormat="1" ht="9.9499999999999993" customHeight="1" x14ac:dyDescent="0.25">
      <c r="A14" s="36"/>
      <c r="B14" s="36"/>
      <c r="C14" s="43"/>
      <c r="D14" s="27"/>
      <c r="E14" s="37"/>
      <c r="F14" s="38"/>
      <c r="G14" s="39"/>
      <c r="H14" s="39"/>
      <c r="I14" s="40"/>
      <c r="J14" s="41"/>
      <c r="K14" s="590"/>
    </row>
    <row r="15" spans="1:14" s="35" customFormat="1" ht="31.5" customHeight="1" x14ac:dyDescent="0.25">
      <c r="A15" s="37" t="s">
        <v>52</v>
      </c>
      <c r="B15" s="36"/>
      <c r="C15" s="109">
        <f>I27</f>
        <v>0</v>
      </c>
      <c r="D15" s="42"/>
      <c r="E15" s="126" t="s">
        <v>53</v>
      </c>
      <c r="F15" s="626" t="s">
        <v>54</v>
      </c>
      <c r="G15" s="627"/>
      <c r="H15" s="627"/>
      <c r="I15" s="628"/>
      <c r="J15" s="23"/>
      <c r="K15" s="590"/>
    </row>
    <row r="16" spans="1:14" s="35" customFormat="1" ht="9.9499999999999993" customHeight="1" thickBot="1" x14ac:dyDescent="0.3">
      <c r="A16" s="36"/>
      <c r="B16" s="36"/>
      <c r="C16" s="43"/>
      <c r="D16" s="27"/>
      <c r="E16" s="37"/>
      <c r="F16" s="38"/>
      <c r="G16" s="39"/>
      <c r="H16" s="39"/>
      <c r="I16" s="40"/>
      <c r="J16" s="41"/>
      <c r="K16" s="591"/>
    </row>
    <row r="17" spans="1:11" s="35" customFormat="1" ht="34.5" customHeight="1" x14ac:dyDescent="0.25">
      <c r="A17" s="575" t="s">
        <v>55</v>
      </c>
      <c r="B17" s="577"/>
      <c r="C17" s="110">
        <f>I28</f>
        <v>0</v>
      </c>
      <c r="D17" s="42"/>
      <c r="E17" s="33" t="s">
        <v>56</v>
      </c>
      <c r="F17" s="127" t="s">
        <v>57</v>
      </c>
      <c r="G17" s="129"/>
      <c r="H17" s="127" t="s">
        <v>58</v>
      </c>
      <c r="I17" s="150"/>
      <c r="J17" s="23"/>
      <c r="K17" s="52"/>
    </row>
    <row r="18" spans="1:11" s="35" customFormat="1" ht="9.9499999999999993" customHeight="1" thickBot="1" x14ac:dyDescent="0.3">
      <c r="D18" s="44"/>
      <c r="E18" s="37"/>
      <c r="F18" s="38"/>
      <c r="G18" s="39"/>
      <c r="H18" s="45"/>
      <c r="I18" s="40"/>
      <c r="J18" s="41"/>
      <c r="K18" s="55"/>
    </row>
    <row r="19" spans="1:11" s="35" customFormat="1" ht="34.5" customHeight="1" x14ac:dyDescent="0.25">
      <c r="A19" s="575" t="s">
        <v>59</v>
      </c>
      <c r="B19" s="577"/>
      <c r="C19" s="123" t="s">
        <v>60</v>
      </c>
      <c r="D19" s="42"/>
      <c r="E19" s="126" t="s">
        <v>61</v>
      </c>
      <c r="F19" s="544"/>
      <c r="G19" s="545"/>
      <c r="H19" s="545"/>
      <c r="I19" s="546"/>
      <c r="J19" s="23"/>
      <c r="K19" s="6" t="s">
        <v>71</v>
      </c>
    </row>
    <row r="20" spans="1:11" s="35" customFormat="1" ht="15.75" customHeight="1" x14ac:dyDescent="0.25">
      <c r="A20" s="13"/>
      <c r="B20" s="13"/>
      <c r="C20" s="13"/>
      <c r="D20" s="27"/>
      <c r="E20" s="578"/>
      <c r="F20" s="578"/>
      <c r="G20" s="579"/>
      <c r="H20" s="579"/>
      <c r="I20" s="579"/>
      <c r="J20" s="46"/>
      <c r="K20" s="111" t="s">
        <v>72</v>
      </c>
    </row>
    <row r="21" spans="1:11" s="35" customFormat="1" ht="25.7" customHeight="1" x14ac:dyDescent="0.25">
      <c r="A21" s="47"/>
      <c r="B21" s="36"/>
      <c r="C21" s="607" t="s">
        <v>63</v>
      </c>
      <c r="D21" s="608"/>
      <c r="E21" s="608"/>
      <c r="F21" s="609"/>
      <c r="G21" s="48" t="s">
        <v>64</v>
      </c>
      <c r="H21" s="564" t="s">
        <v>65</v>
      </c>
      <c r="I21" s="565"/>
      <c r="J21" s="30"/>
      <c r="K21" s="111" t="s">
        <v>73</v>
      </c>
    </row>
    <row r="22" spans="1:11" s="35" customFormat="1" ht="39" customHeight="1" thickBot="1" x14ac:dyDescent="0.3">
      <c r="A22" s="13"/>
      <c r="B22" s="49"/>
      <c r="C22" s="621" t="s">
        <v>66</v>
      </c>
      <c r="D22" s="622"/>
      <c r="E22" s="622"/>
      <c r="F22" s="623"/>
      <c r="G22" s="146" t="str">
        <f>VLOOKUP(F15,$A$120:$B$125,2,0)</f>
        <v>0805</v>
      </c>
      <c r="H22" s="624">
        <f>SUM(E25:E28)+SUM(I25:I26)</f>
        <v>0</v>
      </c>
      <c r="I22" s="625"/>
      <c r="J22" s="23"/>
      <c r="K22" s="112" t="s">
        <v>74</v>
      </c>
    </row>
    <row r="23" spans="1:11" s="35" customFormat="1" ht="9.9499999999999993" customHeight="1" x14ac:dyDescent="0.25">
      <c r="A23" s="13"/>
      <c r="B23" s="560"/>
      <c r="C23" s="614"/>
      <c r="D23" s="614"/>
      <c r="E23" s="614"/>
      <c r="F23" s="614"/>
      <c r="G23" s="614"/>
      <c r="H23" s="560"/>
      <c r="I23" s="50"/>
      <c r="J23" s="51"/>
    </row>
    <row r="24" spans="1:11" s="56" customFormat="1" ht="26.25" customHeight="1" x14ac:dyDescent="0.3">
      <c r="A24" s="53"/>
      <c r="B24" s="596" t="s">
        <v>68</v>
      </c>
      <c r="C24" s="596"/>
      <c r="D24" s="596"/>
      <c r="E24" s="596"/>
      <c r="F24" s="596"/>
      <c r="G24" s="140" t="s">
        <v>69</v>
      </c>
      <c r="H24" s="147"/>
      <c r="I24" s="138" t="s">
        <v>70</v>
      </c>
      <c r="J24" s="54"/>
    </row>
    <row r="25" spans="1:11" ht="25.5" customHeight="1" x14ac:dyDescent="0.25">
      <c r="A25" s="142"/>
      <c r="B25" s="535"/>
      <c r="C25" s="536"/>
      <c r="D25" s="536"/>
      <c r="E25" s="536"/>
      <c r="F25" s="597"/>
      <c r="G25" s="141"/>
      <c r="H25" s="148"/>
      <c r="I25" s="144"/>
      <c r="J25" s="23"/>
    </row>
    <row r="26" spans="1:11" ht="25.5" customHeight="1" x14ac:dyDescent="0.25">
      <c r="A26" s="142"/>
      <c r="B26" s="535"/>
      <c r="C26" s="536"/>
      <c r="D26" s="536"/>
      <c r="E26" s="536"/>
      <c r="F26" s="597"/>
      <c r="G26" s="141"/>
      <c r="H26" s="149"/>
      <c r="I26" s="145"/>
      <c r="J26" s="57"/>
    </row>
    <row r="27" spans="1:11" ht="28.5" customHeight="1" x14ac:dyDescent="0.3">
      <c r="A27" s="87"/>
      <c r="B27" s="134"/>
      <c r="C27" s="135"/>
      <c r="D27" s="136"/>
      <c r="E27" s="133"/>
      <c r="F27" s="137"/>
      <c r="G27" s="592" t="s">
        <v>75</v>
      </c>
      <c r="H27" s="593"/>
      <c r="I27" s="143">
        <f>H22*0.1</f>
        <v>0</v>
      </c>
      <c r="J27" s="58"/>
    </row>
    <row r="28" spans="1:11" ht="28.5" customHeight="1" thickBot="1" x14ac:dyDescent="0.35">
      <c r="A28" s="87"/>
      <c r="B28" s="134"/>
      <c r="C28" s="135"/>
      <c r="D28" s="136"/>
      <c r="E28" s="133"/>
      <c r="F28" s="137"/>
      <c r="G28" s="539" t="s">
        <v>76</v>
      </c>
      <c r="H28" s="540"/>
      <c r="I28" s="139">
        <f>H22+I27</f>
        <v>0</v>
      </c>
      <c r="J28" s="58"/>
    </row>
    <row r="29" spans="1:11" ht="52.5" customHeight="1" thickBot="1" x14ac:dyDescent="0.35">
      <c r="A29" s="528" t="s">
        <v>77</v>
      </c>
      <c r="B29" s="529"/>
      <c r="C29" s="604"/>
      <c r="D29" s="605"/>
      <c r="E29" s="605"/>
      <c r="F29" s="606"/>
      <c r="G29" s="59" t="s">
        <v>78</v>
      </c>
      <c r="H29" s="610"/>
      <c r="I29" s="611"/>
      <c r="J29" s="130"/>
    </row>
    <row r="30" spans="1:11" ht="52.5" customHeight="1" thickBot="1" x14ac:dyDescent="0.35">
      <c r="A30" s="528" t="s">
        <v>79</v>
      </c>
      <c r="B30" s="529"/>
      <c r="C30" s="604"/>
      <c r="D30" s="605"/>
      <c r="E30" s="605"/>
      <c r="F30" s="606"/>
      <c r="G30" s="59" t="s">
        <v>78</v>
      </c>
      <c r="H30" s="610"/>
      <c r="I30" s="611"/>
      <c r="J30" s="60"/>
    </row>
    <row r="31" spans="1:11" ht="52.5" customHeight="1" thickBot="1" x14ac:dyDescent="0.35">
      <c r="A31" s="528" t="s">
        <v>80</v>
      </c>
      <c r="B31" s="529"/>
      <c r="C31" s="530"/>
      <c r="D31" s="531"/>
      <c r="E31" s="531"/>
      <c r="F31" s="532"/>
      <c r="G31" s="59" t="s">
        <v>78</v>
      </c>
      <c r="H31" s="612"/>
      <c r="I31" s="613"/>
      <c r="J31" s="60"/>
    </row>
    <row r="32" spans="1:11" x14ac:dyDescent="0.3">
      <c r="A32" s="61"/>
      <c r="B32" s="61"/>
      <c r="C32" s="61"/>
      <c r="D32" s="61"/>
      <c r="E32" s="62"/>
      <c r="F32" s="63"/>
      <c r="G32" s="64"/>
      <c r="H32" s="64"/>
      <c r="I32" s="65"/>
      <c r="J32" s="66"/>
    </row>
    <row r="33" spans="1:10" ht="19.5" thickBot="1" x14ac:dyDescent="0.35">
      <c r="A33" s="61"/>
      <c r="B33" s="61"/>
      <c r="C33" s="61"/>
      <c r="D33" s="61"/>
      <c r="E33" s="62"/>
      <c r="F33" s="63"/>
      <c r="G33" s="64"/>
      <c r="H33" s="64"/>
      <c r="I33" s="65"/>
      <c r="J33" s="66"/>
    </row>
    <row r="34" spans="1:10" ht="31.5" customHeight="1" x14ac:dyDescent="0.3">
      <c r="A34" s="598" t="s">
        <v>81</v>
      </c>
      <c r="B34" s="599"/>
      <c r="C34" s="67" t="s">
        <v>82</v>
      </c>
      <c r="D34" s="67"/>
      <c r="E34" s="67" t="s">
        <v>83</v>
      </c>
      <c r="F34" s="68" t="s">
        <v>84</v>
      </c>
      <c r="G34" s="69"/>
      <c r="H34" s="64"/>
      <c r="I34" s="65"/>
      <c r="J34" s="66"/>
    </row>
    <row r="35" spans="1:10" ht="30" customHeight="1" x14ac:dyDescent="0.4">
      <c r="A35" s="600" t="s">
        <v>85</v>
      </c>
      <c r="B35" s="601"/>
      <c r="C35" s="70"/>
      <c r="D35" s="71"/>
      <c r="E35" s="72"/>
      <c r="F35" s="73"/>
      <c r="G35" s="74"/>
      <c r="H35" s="64"/>
      <c r="I35" s="65"/>
      <c r="J35" s="66"/>
    </row>
    <row r="36" spans="1:10" ht="30" customHeight="1" x14ac:dyDescent="0.4">
      <c r="A36" s="75"/>
      <c r="B36" s="76"/>
      <c r="C36" s="71"/>
      <c r="D36" s="71"/>
      <c r="E36" s="77"/>
      <c r="F36" s="78"/>
      <c r="G36" s="74"/>
      <c r="H36" s="64"/>
      <c r="I36" s="65"/>
      <c r="J36" s="66"/>
    </row>
    <row r="37" spans="1:10" ht="30" customHeight="1" x14ac:dyDescent="0.4">
      <c r="A37" s="600" t="s">
        <v>86</v>
      </c>
      <c r="B37" s="601"/>
      <c r="C37" s="70"/>
      <c r="D37" s="71"/>
      <c r="E37" s="72"/>
      <c r="F37" s="73"/>
      <c r="G37" s="74"/>
      <c r="H37" s="64"/>
      <c r="I37" s="65"/>
      <c r="J37" s="66"/>
    </row>
    <row r="38" spans="1:10" ht="30" customHeight="1" x14ac:dyDescent="0.4">
      <c r="A38" s="75"/>
      <c r="B38" s="76"/>
      <c r="C38" s="71"/>
      <c r="D38" s="71"/>
      <c r="E38" s="77"/>
      <c r="F38" s="78"/>
      <c r="G38" s="74"/>
      <c r="H38" s="64"/>
      <c r="I38" s="65"/>
      <c r="J38" s="66"/>
    </row>
    <row r="39" spans="1:10" ht="30" customHeight="1" x14ac:dyDescent="0.4">
      <c r="A39" s="602" t="s">
        <v>87</v>
      </c>
      <c r="B39" s="603"/>
      <c r="C39" s="79">
        <v>41091</v>
      </c>
      <c r="D39" s="70"/>
      <c r="E39" s="80"/>
      <c r="F39" s="73"/>
      <c r="G39" s="74"/>
      <c r="H39" s="64"/>
      <c r="I39" s="65"/>
      <c r="J39" s="66"/>
    </row>
    <row r="40" spans="1:10" ht="30" customHeight="1" x14ac:dyDescent="0.4">
      <c r="A40" s="75"/>
      <c r="B40" s="76"/>
      <c r="C40" s="79">
        <v>41122</v>
      </c>
      <c r="D40" s="70"/>
      <c r="E40" s="80"/>
      <c r="F40" s="73"/>
      <c r="G40" s="74"/>
      <c r="H40" s="64"/>
      <c r="I40" s="65"/>
      <c r="J40" s="66"/>
    </row>
    <row r="41" spans="1:10" ht="30" customHeight="1" x14ac:dyDescent="0.4">
      <c r="A41" s="75"/>
      <c r="B41" s="76"/>
      <c r="C41" s="79">
        <v>41153</v>
      </c>
      <c r="D41" s="70"/>
      <c r="E41" s="80"/>
      <c r="F41" s="73"/>
      <c r="G41" s="74"/>
      <c r="H41" s="64"/>
      <c r="I41" s="65"/>
      <c r="J41" s="66"/>
    </row>
    <row r="42" spans="1:10" ht="30" customHeight="1" x14ac:dyDescent="0.4">
      <c r="A42" s="75"/>
      <c r="B42" s="76"/>
      <c r="C42" s="79">
        <v>41183</v>
      </c>
      <c r="D42" s="70"/>
      <c r="E42" s="80"/>
      <c r="F42" s="73"/>
      <c r="G42" s="74"/>
      <c r="H42" s="64"/>
      <c r="I42" s="65"/>
      <c r="J42" s="66"/>
    </row>
    <row r="43" spans="1:10" ht="30" customHeight="1" x14ac:dyDescent="0.4">
      <c r="A43" s="75"/>
      <c r="B43" s="76"/>
      <c r="C43" s="79">
        <v>41214</v>
      </c>
      <c r="D43" s="70"/>
      <c r="E43" s="80"/>
      <c r="F43" s="73"/>
      <c r="G43" s="74"/>
      <c r="H43" s="64"/>
      <c r="I43" s="65"/>
      <c r="J43" s="66"/>
    </row>
    <row r="44" spans="1:10" ht="30" customHeight="1" x14ac:dyDescent="0.4">
      <c r="A44" s="75"/>
      <c r="B44" s="76"/>
      <c r="C44" s="79">
        <v>41244</v>
      </c>
      <c r="D44" s="70"/>
      <c r="E44" s="80"/>
      <c r="F44" s="73"/>
      <c r="G44" s="74"/>
      <c r="H44" s="64"/>
      <c r="I44" s="65"/>
      <c r="J44" s="66"/>
    </row>
    <row r="45" spans="1:10" ht="30" customHeight="1" x14ac:dyDescent="0.4">
      <c r="A45" s="75"/>
      <c r="B45" s="76"/>
      <c r="C45" s="79">
        <v>41275</v>
      </c>
      <c r="D45" s="70"/>
      <c r="E45" s="72"/>
      <c r="F45" s="73"/>
      <c r="G45" s="74"/>
      <c r="H45" s="64"/>
      <c r="I45" s="65"/>
      <c r="J45" s="66"/>
    </row>
    <row r="46" spans="1:10" ht="30" customHeight="1" x14ac:dyDescent="0.4">
      <c r="A46" s="75"/>
      <c r="B46" s="76"/>
      <c r="C46" s="79">
        <v>41306</v>
      </c>
      <c r="D46" s="70"/>
      <c r="E46" s="72"/>
      <c r="F46" s="73"/>
      <c r="G46" s="74"/>
      <c r="H46" s="64"/>
      <c r="I46" s="65"/>
      <c r="J46" s="66"/>
    </row>
    <row r="47" spans="1:10" ht="30" customHeight="1" x14ac:dyDescent="0.4">
      <c r="A47" s="75"/>
      <c r="B47" s="76"/>
      <c r="C47" s="79">
        <v>41334</v>
      </c>
      <c r="D47" s="70"/>
      <c r="E47" s="72"/>
      <c r="F47" s="73"/>
      <c r="G47" s="74"/>
      <c r="H47" s="64"/>
      <c r="I47" s="65"/>
      <c r="J47" s="66"/>
    </row>
    <row r="48" spans="1:10" ht="30" customHeight="1" x14ac:dyDescent="0.4">
      <c r="A48" s="75"/>
      <c r="B48" s="76"/>
      <c r="C48" s="79">
        <v>41365</v>
      </c>
      <c r="D48" s="70"/>
      <c r="E48" s="72"/>
      <c r="F48" s="73"/>
      <c r="G48" s="74"/>
      <c r="H48" s="64"/>
      <c r="I48" s="65"/>
      <c r="J48" s="66"/>
    </row>
    <row r="49" spans="1:14" ht="30" customHeight="1" x14ac:dyDescent="0.4">
      <c r="A49" s="75"/>
      <c r="B49" s="76"/>
      <c r="C49" s="79">
        <v>41395</v>
      </c>
      <c r="D49" s="70"/>
      <c r="E49" s="72"/>
      <c r="F49" s="73"/>
      <c r="G49" s="74"/>
      <c r="H49" s="64"/>
      <c r="I49" s="65"/>
      <c r="J49" s="66"/>
    </row>
    <row r="50" spans="1:14" ht="30" customHeight="1" x14ac:dyDescent="0.4">
      <c r="A50" s="75"/>
      <c r="B50" s="76"/>
      <c r="C50" s="79">
        <v>41426</v>
      </c>
      <c r="D50" s="70"/>
      <c r="E50" s="72"/>
      <c r="F50" s="73"/>
      <c r="G50" s="74"/>
      <c r="H50" s="64"/>
      <c r="I50" s="65"/>
      <c r="J50" s="66"/>
    </row>
    <row r="51" spans="1:14" ht="30" customHeight="1" x14ac:dyDescent="0.4">
      <c r="A51" s="75"/>
      <c r="B51" s="76"/>
      <c r="C51" s="71"/>
      <c r="D51" s="71"/>
      <c r="E51" s="77"/>
      <c r="F51" s="78"/>
      <c r="G51" s="74"/>
      <c r="H51" s="64"/>
      <c r="I51" s="65"/>
      <c r="J51" s="66"/>
    </row>
    <row r="52" spans="1:14" ht="30" customHeight="1" x14ac:dyDescent="0.4">
      <c r="A52" s="600" t="s">
        <v>88</v>
      </c>
      <c r="B52" s="601"/>
      <c r="C52" s="70"/>
      <c r="D52" s="71"/>
      <c r="E52" s="72"/>
      <c r="F52" s="73"/>
      <c r="G52" s="74"/>
      <c r="H52" s="64"/>
      <c r="I52" s="65"/>
      <c r="J52" s="66"/>
    </row>
    <row r="53" spans="1:14" ht="30" customHeight="1" x14ac:dyDescent="0.4">
      <c r="A53" s="75"/>
      <c r="B53" s="76"/>
      <c r="C53" s="71"/>
      <c r="D53" s="71"/>
      <c r="E53" s="77"/>
      <c r="F53" s="78"/>
      <c r="G53" s="74"/>
      <c r="H53" s="64"/>
      <c r="I53" s="65"/>
      <c r="J53" s="66"/>
    </row>
    <row r="54" spans="1:14" ht="30" customHeight="1" x14ac:dyDescent="0.4">
      <c r="A54" s="600" t="s">
        <v>89</v>
      </c>
      <c r="B54" s="601"/>
      <c r="C54" s="70"/>
      <c r="D54" s="71"/>
      <c r="E54" s="72"/>
      <c r="F54" s="73"/>
      <c r="G54" s="74"/>
      <c r="H54" s="64"/>
      <c r="I54" s="65"/>
      <c r="J54" s="66"/>
    </row>
    <row r="55" spans="1:14" ht="26.25" x14ac:dyDescent="0.4">
      <c r="A55" s="81"/>
      <c r="B55" s="71"/>
      <c r="C55" s="71"/>
      <c r="D55" s="71"/>
      <c r="E55" s="77"/>
      <c r="F55" s="78"/>
      <c r="G55" s="74"/>
      <c r="H55" s="64"/>
      <c r="I55" s="65"/>
      <c r="J55" s="66"/>
    </row>
    <row r="56" spans="1:14" ht="28.5" customHeight="1" x14ac:dyDescent="0.4">
      <c r="A56" s="594" t="s">
        <v>90</v>
      </c>
      <c r="B56" s="595"/>
      <c r="C56" s="82"/>
      <c r="D56" s="82"/>
      <c r="E56" s="83"/>
      <c r="F56" s="84"/>
      <c r="G56" s="74"/>
      <c r="H56" s="85"/>
      <c r="I56" s="65"/>
      <c r="J56" s="66"/>
    </row>
    <row r="57" spans="1:14" x14ac:dyDescent="0.3">
      <c r="A57" s="86"/>
      <c r="B57" s="87"/>
      <c r="C57" s="87"/>
      <c r="D57" s="87"/>
      <c r="E57" s="88"/>
      <c r="F57" s="89"/>
      <c r="G57" s="74"/>
      <c r="H57" s="85"/>
      <c r="I57" s="65"/>
      <c r="J57" s="66"/>
    </row>
    <row r="58" spans="1:14" x14ac:dyDescent="0.3">
      <c r="A58" s="86"/>
      <c r="B58" s="87"/>
      <c r="C58" s="87"/>
      <c r="D58" s="87"/>
      <c r="E58" s="88"/>
      <c r="F58" s="89"/>
      <c r="G58" s="74"/>
      <c r="H58" s="85"/>
      <c r="I58" s="65"/>
      <c r="J58" s="66"/>
    </row>
    <row r="59" spans="1:14" x14ac:dyDescent="0.3">
      <c r="A59" s="86"/>
      <c r="B59" s="87"/>
      <c r="C59" s="87"/>
      <c r="D59" s="87"/>
      <c r="E59" s="88"/>
      <c r="F59" s="89"/>
      <c r="G59" s="74"/>
      <c r="H59" s="85"/>
      <c r="I59" s="65"/>
      <c r="J59" s="66"/>
    </row>
    <row r="60" spans="1:14" x14ac:dyDescent="0.3">
      <c r="A60" s="86"/>
      <c r="B60" s="87"/>
      <c r="C60" s="87"/>
      <c r="D60" s="87"/>
      <c r="E60" s="88"/>
      <c r="F60" s="89"/>
      <c r="G60" s="74"/>
      <c r="H60" s="85"/>
      <c r="I60" s="65"/>
      <c r="J60" s="66"/>
    </row>
    <row r="61" spans="1:14" x14ac:dyDescent="0.3">
      <c r="A61" s="86"/>
      <c r="B61" s="87"/>
      <c r="C61" s="87"/>
      <c r="D61" s="87"/>
      <c r="E61" s="88"/>
      <c r="F61" s="89"/>
      <c r="G61" s="74"/>
      <c r="H61" s="85"/>
      <c r="I61" s="65"/>
      <c r="J61" s="66"/>
    </row>
    <row r="62" spans="1:14" x14ac:dyDescent="0.3">
      <c r="A62" s="86"/>
      <c r="B62" s="87"/>
      <c r="C62" s="87"/>
      <c r="D62" s="87"/>
      <c r="E62" s="88"/>
      <c r="F62" s="89"/>
      <c r="G62" s="74"/>
      <c r="H62" s="85"/>
      <c r="I62" s="65"/>
      <c r="J62" s="66"/>
    </row>
    <row r="63" spans="1:14" x14ac:dyDescent="0.3">
      <c r="A63" s="86"/>
      <c r="B63" s="87"/>
      <c r="C63" s="87"/>
      <c r="D63" s="87"/>
      <c r="E63" s="88"/>
      <c r="F63" s="89"/>
      <c r="G63" s="74"/>
      <c r="H63" s="85"/>
      <c r="I63" s="65"/>
      <c r="J63" s="66"/>
    </row>
    <row r="64" spans="1:14" s="95" customFormat="1" x14ac:dyDescent="0.3">
      <c r="A64" s="90"/>
      <c r="B64" s="31"/>
      <c r="C64" s="31"/>
      <c r="D64" s="31"/>
      <c r="E64" s="91"/>
      <c r="F64" s="92"/>
      <c r="G64" s="93"/>
      <c r="H64" s="94"/>
      <c r="I64" s="96"/>
      <c r="J64" s="97"/>
      <c r="K64" s="9"/>
      <c r="L64" s="9"/>
      <c r="M64" s="9"/>
      <c r="N64" s="9"/>
    </row>
    <row r="65" spans="1:14" s="95" customFormat="1" x14ac:dyDescent="0.3">
      <c r="A65" s="90"/>
      <c r="B65" s="31"/>
      <c r="C65" s="31"/>
      <c r="D65" s="31"/>
      <c r="E65" s="91"/>
      <c r="F65" s="92"/>
      <c r="G65" s="93"/>
      <c r="H65" s="94"/>
      <c r="I65" s="96"/>
      <c r="J65" s="97"/>
      <c r="K65" s="9"/>
      <c r="L65" s="9"/>
      <c r="M65" s="9"/>
      <c r="N65" s="9"/>
    </row>
    <row r="66" spans="1:14" s="95" customFormat="1" x14ac:dyDescent="0.3">
      <c r="A66" s="90"/>
      <c r="B66" s="31"/>
      <c r="C66" s="31"/>
      <c r="D66" s="31"/>
      <c r="E66" s="91"/>
      <c r="F66" s="92"/>
      <c r="G66" s="93"/>
      <c r="I66" s="96"/>
      <c r="J66" s="97"/>
      <c r="K66" s="9"/>
      <c r="L66" s="9"/>
      <c r="M66" s="9"/>
      <c r="N66" s="9"/>
    </row>
    <row r="67" spans="1:14" s="95" customFormat="1" x14ac:dyDescent="0.3">
      <c r="A67" s="98"/>
      <c r="B67" s="99"/>
      <c r="C67" s="99"/>
      <c r="D67" s="99"/>
      <c r="E67" s="100"/>
      <c r="F67" s="101"/>
      <c r="G67" s="93"/>
      <c r="I67" s="96"/>
      <c r="J67" s="97"/>
      <c r="K67" s="9"/>
      <c r="L67" s="9"/>
      <c r="M67" s="9"/>
      <c r="N67" s="9"/>
    </row>
    <row r="68" spans="1:14" s="95" customFormat="1" ht="19.5" thickBot="1" x14ac:dyDescent="0.35">
      <c r="A68" s="102"/>
      <c r="B68" s="103"/>
      <c r="C68" s="103"/>
      <c r="D68" s="103"/>
      <c r="E68" s="104"/>
      <c r="F68" s="105"/>
      <c r="G68" s="106"/>
      <c r="I68" s="96"/>
      <c r="J68" s="97"/>
      <c r="K68" s="9"/>
      <c r="L68" s="9"/>
      <c r="M68" s="9"/>
      <c r="N68" s="9"/>
    </row>
    <row r="114" spans="1:2" ht="19.5" thickBot="1" x14ac:dyDescent="0.35"/>
    <row r="115" spans="1:2" x14ac:dyDescent="0.3">
      <c r="B115" s="122" t="s">
        <v>60</v>
      </c>
    </row>
    <row r="116" spans="1:2" x14ac:dyDescent="0.3">
      <c r="B116" s="113" t="s">
        <v>91</v>
      </c>
    </row>
    <row r="117" spans="1:2" x14ac:dyDescent="0.3">
      <c r="B117" s="115" t="s">
        <v>92</v>
      </c>
    </row>
    <row r="118" spans="1:2" x14ac:dyDescent="0.3">
      <c r="B118" s="115" t="s">
        <v>93</v>
      </c>
    </row>
    <row r="119" spans="1:2" ht="19.5" thickBot="1" x14ac:dyDescent="0.35"/>
    <row r="120" spans="1:2" ht="18.75" customHeight="1" x14ac:dyDescent="0.3">
      <c r="A120" s="7" t="s">
        <v>94</v>
      </c>
      <c r="B120" s="8" t="s">
        <v>95</v>
      </c>
    </row>
    <row r="121" spans="1:2" x14ac:dyDescent="0.3">
      <c r="A121" s="113" t="s">
        <v>96</v>
      </c>
      <c r="B121" s="114" t="s">
        <v>97</v>
      </c>
    </row>
    <row r="122" spans="1:2" x14ac:dyDescent="0.3">
      <c r="A122" s="115" t="s">
        <v>98</v>
      </c>
      <c r="B122" s="116" t="s">
        <v>99</v>
      </c>
    </row>
    <row r="123" spans="1:2" x14ac:dyDescent="0.3">
      <c r="A123" s="115" t="s">
        <v>100</v>
      </c>
      <c r="B123" s="116" t="s">
        <v>101</v>
      </c>
    </row>
    <row r="124" spans="1:2" x14ac:dyDescent="0.3">
      <c r="A124" s="113" t="s">
        <v>54</v>
      </c>
      <c r="B124" s="114" t="s">
        <v>67</v>
      </c>
    </row>
    <row r="125" spans="1:2" ht="19.5" thickBot="1" x14ac:dyDescent="0.35">
      <c r="A125" s="117" t="s">
        <v>102</v>
      </c>
      <c r="B125" s="118" t="s">
        <v>103</v>
      </c>
    </row>
    <row r="126" spans="1:2" x14ac:dyDescent="0.3">
      <c r="A126" s="119"/>
      <c r="B126" s="119"/>
    </row>
    <row r="127" spans="1:2" x14ac:dyDescent="0.3">
      <c r="A127" s="4" t="s">
        <v>104</v>
      </c>
      <c r="B127" s="4" t="s">
        <v>105</v>
      </c>
    </row>
    <row r="128" spans="1:2" x14ac:dyDescent="0.3">
      <c r="A128" s="5" t="s">
        <v>106</v>
      </c>
      <c r="B128" s="5" t="s">
        <v>107</v>
      </c>
    </row>
    <row r="129" spans="1:2" x14ac:dyDescent="0.3">
      <c r="A129" s="5" t="s">
        <v>108</v>
      </c>
      <c r="B129" s="5" t="s">
        <v>109</v>
      </c>
    </row>
    <row r="130" spans="1:2" x14ac:dyDescent="0.3">
      <c r="A130" s="5" t="s">
        <v>110</v>
      </c>
      <c r="B130" s="5" t="s">
        <v>111</v>
      </c>
    </row>
    <row r="131" spans="1:2" x14ac:dyDescent="0.3">
      <c r="A131" s="5" t="s">
        <v>112</v>
      </c>
      <c r="B131" s="5" t="s">
        <v>113</v>
      </c>
    </row>
    <row r="132" spans="1:2" x14ac:dyDescent="0.3">
      <c r="A132" s="5" t="s">
        <v>114</v>
      </c>
      <c r="B132" s="5" t="s">
        <v>115</v>
      </c>
    </row>
    <row r="133" spans="1:2" x14ac:dyDescent="0.3">
      <c r="A133" s="5" t="s">
        <v>116</v>
      </c>
      <c r="B133" s="5" t="s">
        <v>117</v>
      </c>
    </row>
    <row r="134" spans="1:2" x14ac:dyDescent="0.3">
      <c r="A134" s="5" t="s">
        <v>118</v>
      </c>
      <c r="B134" s="5" t="s">
        <v>119</v>
      </c>
    </row>
    <row r="135" spans="1:2" x14ac:dyDescent="0.3">
      <c r="A135" s="5" t="s">
        <v>120</v>
      </c>
      <c r="B135" s="5" t="s">
        <v>121</v>
      </c>
    </row>
    <row r="136" spans="1:2" x14ac:dyDescent="0.3">
      <c r="A136" s="5" t="s">
        <v>122</v>
      </c>
      <c r="B136" s="5" t="s">
        <v>123</v>
      </c>
    </row>
    <row r="137" spans="1:2" x14ac:dyDescent="0.3">
      <c r="A137" s="5" t="s">
        <v>124</v>
      </c>
      <c r="B137" s="5" t="s">
        <v>125</v>
      </c>
    </row>
    <row r="138" spans="1:2" x14ac:dyDescent="0.3">
      <c r="A138" s="5" t="s">
        <v>126</v>
      </c>
      <c r="B138" s="5" t="s">
        <v>127</v>
      </c>
    </row>
    <row r="139" spans="1:2" x14ac:dyDescent="0.3">
      <c r="A139" s="5" t="s">
        <v>128</v>
      </c>
      <c r="B139" s="5" t="s">
        <v>129</v>
      </c>
    </row>
    <row r="140" spans="1:2" x14ac:dyDescent="0.3">
      <c r="A140" s="5" t="s">
        <v>130</v>
      </c>
      <c r="B140" s="5" t="s">
        <v>131</v>
      </c>
    </row>
    <row r="141" spans="1:2" x14ac:dyDescent="0.3">
      <c r="A141" s="5" t="s">
        <v>132</v>
      </c>
      <c r="B141" s="5" t="s">
        <v>133</v>
      </c>
    </row>
    <row r="142" spans="1:2" x14ac:dyDescent="0.3">
      <c r="A142" s="5" t="s">
        <v>134</v>
      </c>
      <c r="B142" s="5" t="s">
        <v>135</v>
      </c>
    </row>
    <row r="143" spans="1:2" x14ac:dyDescent="0.3">
      <c r="A143" s="5" t="s">
        <v>136</v>
      </c>
      <c r="B143" s="5" t="s">
        <v>137</v>
      </c>
    </row>
    <row r="144" spans="1:2" x14ac:dyDescent="0.3">
      <c r="A144" s="5" t="s">
        <v>138</v>
      </c>
      <c r="B144" s="5" t="s">
        <v>139</v>
      </c>
    </row>
    <row r="145" spans="1:2" x14ac:dyDescent="0.3">
      <c r="A145" s="5" t="s">
        <v>140</v>
      </c>
      <c r="B145" s="5" t="s">
        <v>141</v>
      </c>
    </row>
    <row r="146" spans="1:2" x14ac:dyDescent="0.3">
      <c r="A146" s="5" t="s">
        <v>142</v>
      </c>
      <c r="B146" s="5" t="s">
        <v>143</v>
      </c>
    </row>
    <row r="147" spans="1:2" x14ac:dyDescent="0.3">
      <c r="A147" s="5" t="s">
        <v>144</v>
      </c>
      <c r="B147" s="5" t="s">
        <v>145</v>
      </c>
    </row>
    <row r="148" spans="1:2" x14ac:dyDescent="0.3">
      <c r="A148" s="5" t="s">
        <v>146</v>
      </c>
      <c r="B148" s="5" t="s">
        <v>147</v>
      </c>
    </row>
    <row r="149" spans="1:2" x14ac:dyDescent="0.3">
      <c r="A149" s="5" t="s">
        <v>148</v>
      </c>
      <c r="B149" s="5" t="s">
        <v>149</v>
      </c>
    </row>
    <row r="150" spans="1:2" x14ac:dyDescent="0.3">
      <c r="A150" s="5" t="s">
        <v>150</v>
      </c>
      <c r="B150" s="5" t="s">
        <v>151</v>
      </c>
    </row>
    <row r="151" spans="1:2" x14ac:dyDescent="0.3">
      <c r="A151" s="5" t="s">
        <v>152</v>
      </c>
      <c r="B151" s="5" t="s">
        <v>153</v>
      </c>
    </row>
    <row r="152" spans="1:2" x14ac:dyDescent="0.3">
      <c r="A152" s="5" t="s">
        <v>154</v>
      </c>
      <c r="B152" s="5" t="s">
        <v>155</v>
      </c>
    </row>
    <row r="153" spans="1:2" x14ac:dyDescent="0.3">
      <c r="A153" s="5" t="s">
        <v>156</v>
      </c>
      <c r="B153" s="5" t="s">
        <v>157</v>
      </c>
    </row>
    <row r="154" spans="1:2" x14ac:dyDescent="0.3">
      <c r="A154" s="5" t="s">
        <v>158</v>
      </c>
      <c r="B154" s="5" t="s">
        <v>159</v>
      </c>
    </row>
    <row r="155" spans="1:2" x14ac:dyDescent="0.3">
      <c r="A155" s="5" t="s">
        <v>160</v>
      </c>
      <c r="B155" s="5" t="s">
        <v>161</v>
      </c>
    </row>
    <row r="156" spans="1:2" x14ac:dyDescent="0.3">
      <c r="A156" s="5" t="s">
        <v>162</v>
      </c>
      <c r="B156" s="5" t="s">
        <v>163</v>
      </c>
    </row>
    <row r="157" spans="1:2" x14ac:dyDescent="0.3">
      <c r="A157" s="5" t="s">
        <v>164</v>
      </c>
      <c r="B157" s="5" t="s">
        <v>165</v>
      </c>
    </row>
    <row r="158" spans="1:2" x14ac:dyDescent="0.3">
      <c r="A158" s="5" t="s">
        <v>166</v>
      </c>
      <c r="B158" s="5" t="s">
        <v>167</v>
      </c>
    </row>
    <row r="159" spans="1:2" x14ac:dyDescent="0.3">
      <c r="A159" s="5" t="s">
        <v>168</v>
      </c>
      <c r="B159" s="5" t="s">
        <v>169</v>
      </c>
    </row>
    <row r="160" spans="1:2" x14ac:dyDescent="0.3">
      <c r="A160" s="5" t="s">
        <v>170</v>
      </c>
      <c r="B160" s="5" t="s">
        <v>171</v>
      </c>
    </row>
    <row r="161" spans="1:2" x14ac:dyDescent="0.3">
      <c r="A161" s="5" t="s">
        <v>172</v>
      </c>
      <c r="B161" s="5" t="s">
        <v>173</v>
      </c>
    </row>
    <row r="162" spans="1:2" x14ac:dyDescent="0.3">
      <c r="A162" s="5" t="s">
        <v>174</v>
      </c>
      <c r="B162" s="5" t="s">
        <v>175</v>
      </c>
    </row>
    <row r="163" spans="1:2" x14ac:dyDescent="0.3">
      <c r="A163" s="5" t="s">
        <v>176</v>
      </c>
      <c r="B163" s="5" t="s">
        <v>177</v>
      </c>
    </row>
    <row r="164" spans="1:2" x14ac:dyDescent="0.3">
      <c r="A164" s="5" t="s">
        <v>178</v>
      </c>
      <c r="B164" s="5" t="s">
        <v>179</v>
      </c>
    </row>
    <row r="165" spans="1:2" x14ac:dyDescent="0.3">
      <c r="A165" s="5" t="s">
        <v>180</v>
      </c>
      <c r="B165" s="5" t="s">
        <v>181</v>
      </c>
    </row>
    <row r="166" spans="1:2" x14ac:dyDescent="0.3">
      <c r="A166" s="5" t="s">
        <v>182</v>
      </c>
      <c r="B166" s="5" t="s">
        <v>183</v>
      </c>
    </row>
    <row r="167" spans="1:2" x14ac:dyDescent="0.3">
      <c r="A167" s="5" t="s">
        <v>184</v>
      </c>
      <c r="B167" s="5" t="s">
        <v>185</v>
      </c>
    </row>
    <row r="168" spans="1:2" x14ac:dyDescent="0.3">
      <c r="A168" s="5" t="s">
        <v>186</v>
      </c>
      <c r="B168" s="5" t="s">
        <v>187</v>
      </c>
    </row>
    <row r="169" spans="1:2" x14ac:dyDescent="0.3">
      <c r="A169" s="5" t="s">
        <v>188</v>
      </c>
      <c r="B169" s="5" t="s">
        <v>189</v>
      </c>
    </row>
    <row r="170" spans="1:2" x14ac:dyDescent="0.3">
      <c r="A170" s="5" t="s">
        <v>190</v>
      </c>
      <c r="B170" s="5" t="s">
        <v>191</v>
      </c>
    </row>
    <row r="171" spans="1:2" x14ac:dyDescent="0.3">
      <c r="A171" s="5" t="s">
        <v>192</v>
      </c>
      <c r="B171" s="5" t="s">
        <v>193</v>
      </c>
    </row>
    <row r="172" spans="1:2" x14ac:dyDescent="0.3">
      <c r="A172" s="5" t="s">
        <v>194</v>
      </c>
      <c r="B172" s="5" t="s">
        <v>195</v>
      </c>
    </row>
    <row r="173" spans="1:2" x14ac:dyDescent="0.3">
      <c r="A173" s="5" t="s">
        <v>196</v>
      </c>
      <c r="B173" s="5" t="s">
        <v>197</v>
      </c>
    </row>
    <row r="174" spans="1:2" x14ac:dyDescent="0.3">
      <c r="A174" s="5" t="s">
        <v>198</v>
      </c>
      <c r="B174" s="5" t="s">
        <v>199</v>
      </c>
    </row>
    <row r="175" spans="1:2" x14ac:dyDescent="0.3">
      <c r="A175" s="5" t="s">
        <v>200</v>
      </c>
      <c r="B175" s="5" t="s">
        <v>201</v>
      </c>
    </row>
    <row r="176" spans="1:2" x14ac:dyDescent="0.3">
      <c r="A176" s="5" t="s">
        <v>202</v>
      </c>
      <c r="B176" s="5" t="s">
        <v>203</v>
      </c>
    </row>
    <row r="177" spans="1:2" x14ac:dyDescent="0.3">
      <c r="A177" s="5" t="s">
        <v>204</v>
      </c>
      <c r="B177" s="5" t="s">
        <v>205</v>
      </c>
    </row>
    <row r="178" spans="1:2" x14ac:dyDescent="0.3">
      <c r="A178" s="5" t="s">
        <v>206</v>
      </c>
      <c r="B178" s="5" t="s">
        <v>207</v>
      </c>
    </row>
    <row r="179" spans="1:2" x14ac:dyDescent="0.3">
      <c r="A179" s="5" t="s">
        <v>208</v>
      </c>
      <c r="B179" s="5" t="s">
        <v>209</v>
      </c>
    </row>
    <row r="180" spans="1:2" x14ac:dyDescent="0.3">
      <c r="A180" s="5" t="s">
        <v>210</v>
      </c>
      <c r="B180" s="5" t="s">
        <v>211</v>
      </c>
    </row>
    <row r="181" spans="1:2" x14ac:dyDescent="0.3">
      <c r="A181" s="5" t="s">
        <v>212</v>
      </c>
      <c r="B181" s="5" t="s">
        <v>213</v>
      </c>
    </row>
    <row r="182" spans="1:2" x14ac:dyDescent="0.3">
      <c r="A182" s="5" t="s">
        <v>214</v>
      </c>
      <c r="B182" s="5" t="s">
        <v>215</v>
      </c>
    </row>
    <row r="183" spans="1:2" x14ac:dyDescent="0.3">
      <c r="A183" s="5" t="s">
        <v>216</v>
      </c>
      <c r="B183" s="5" t="s">
        <v>217</v>
      </c>
    </row>
    <row r="184" spans="1:2" x14ac:dyDescent="0.3">
      <c r="A184" s="5" t="s">
        <v>218</v>
      </c>
      <c r="B184" s="5" t="s">
        <v>219</v>
      </c>
    </row>
    <row r="185" spans="1:2" x14ac:dyDescent="0.3">
      <c r="A185" s="5" t="s">
        <v>220</v>
      </c>
      <c r="B185" s="5" t="s">
        <v>221</v>
      </c>
    </row>
    <row r="186" spans="1:2" x14ac:dyDescent="0.3">
      <c r="A186" s="5" t="s">
        <v>222</v>
      </c>
      <c r="B186" s="5" t="s">
        <v>223</v>
      </c>
    </row>
    <row r="187" spans="1:2" x14ac:dyDescent="0.3">
      <c r="A187" s="5" t="s">
        <v>224</v>
      </c>
      <c r="B187" s="5" t="s">
        <v>225</v>
      </c>
    </row>
    <row r="188" spans="1:2" x14ac:dyDescent="0.3">
      <c r="A188" s="5" t="s">
        <v>226</v>
      </c>
      <c r="B188" s="5" t="s">
        <v>227</v>
      </c>
    </row>
    <row r="189" spans="1:2" x14ac:dyDescent="0.3">
      <c r="A189" s="5" t="s">
        <v>228</v>
      </c>
      <c r="B189" s="5" t="s">
        <v>229</v>
      </c>
    </row>
    <row r="190" spans="1:2" x14ac:dyDescent="0.3">
      <c r="A190" s="5" t="s">
        <v>230</v>
      </c>
      <c r="B190" s="5" t="s">
        <v>231</v>
      </c>
    </row>
    <row r="191" spans="1:2" x14ac:dyDescent="0.3">
      <c r="A191" s="5" t="s">
        <v>232</v>
      </c>
      <c r="B191" s="5" t="s">
        <v>233</v>
      </c>
    </row>
    <row r="192" spans="1:2" x14ac:dyDescent="0.3">
      <c r="A192" s="5" t="s">
        <v>234</v>
      </c>
      <c r="B192" s="5" t="s">
        <v>235</v>
      </c>
    </row>
    <row r="193" spans="1:2" x14ac:dyDescent="0.3">
      <c r="A193" s="5" t="s">
        <v>236</v>
      </c>
      <c r="B193" s="5" t="s">
        <v>237</v>
      </c>
    </row>
    <row r="194" spans="1:2" x14ac:dyDescent="0.3">
      <c r="A194" s="5" t="s">
        <v>238</v>
      </c>
      <c r="B194" s="5" t="s">
        <v>239</v>
      </c>
    </row>
    <row r="195" spans="1:2" x14ac:dyDescent="0.3">
      <c r="A195" s="5" t="s">
        <v>240</v>
      </c>
      <c r="B195" s="5" t="s">
        <v>241</v>
      </c>
    </row>
    <row r="196" spans="1:2" x14ac:dyDescent="0.3">
      <c r="A196" s="5" t="s">
        <v>242</v>
      </c>
      <c r="B196" s="5" t="s">
        <v>243</v>
      </c>
    </row>
    <row r="197" spans="1:2" x14ac:dyDescent="0.3">
      <c r="A197" s="5" t="s">
        <v>244</v>
      </c>
      <c r="B197" s="5" t="s">
        <v>245</v>
      </c>
    </row>
    <row r="198" spans="1:2" x14ac:dyDescent="0.3">
      <c r="A198" s="5" t="s">
        <v>246</v>
      </c>
      <c r="B198" s="5" t="s">
        <v>247</v>
      </c>
    </row>
    <row r="199" spans="1:2" x14ac:dyDescent="0.3">
      <c r="A199" s="5" t="s">
        <v>248</v>
      </c>
      <c r="B199" s="5" t="s">
        <v>249</v>
      </c>
    </row>
    <row r="200" spans="1:2" x14ac:dyDescent="0.3">
      <c r="A200" s="5" t="s">
        <v>250</v>
      </c>
      <c r="B200" s="5" t="s">
        <v>251</v>
      </c>
    </row>
    <row r="201" spans="1:2" x14ac:dyDescent="0.3">
      <c r="A201" s="5" t="s">
        <v>252</v>
      </c>
      <c r="B201" s="5" t="s">
        <v>253</v>
      </c>
    </row>
    <row r="202" spans="1:2" x14ac:dyDescent="0.3">
      <c r="A202" s="5" t="s">
        <v>254</v>
      </c>
      <c r="B202" s="5" t="s">
        <v>255</v>
      </c>
    </row>
    <row r="203" spans="1:2" x14ac:dyDescent="0.3">
      <c r="A203" s="5" t="s">
        <v>256</v>
      </c>
      <c r="B203" s="5" t="s">
        <v>257</v>
      </c>
    </row>
    <row r="204" spans="1:2" x14ac:dyDescent="0.3">
      <c r="A204" s="5" t="s">
        <v>258</v>
      </c>
      <c r="B204" s="5" t="s">
        <v>259</v>
      </c>
    </row>
    <row r="205" spans="1:2" x14ac:dyDescent="0.3">
      <c r="A205" s="5" t="s">
        <v>260</v>
      </c>
      <c r="B205" s="5" t="s">
        <v>261</v>
      </c>
    </row>
    <row r="206" spans="1:2" x14ac:dyDescent="0.3">
      <c r="A206" s="5" t="s">
        <v>262</v>
      </c>
      <c r="B206" s="5" t="s">
        <v>263</v>
      </c>
    </row>
    <row r="207" spans="1:2" x14ac:dyDescent="0.3">
      <c r="A207" s="5" t="s">
        <v>264</v>
      </c>
      <c r="B207" s="5" t="s">
        <v>265</v>
      </c>
    </row>
    <row r="208" spans="1:2" x14ac:dyDescent="0.3">
      <c r="A208" s="5" t="s">
        <v>266</v>
      </c>
      <c r="B208" s="5" t="s">
        <v>267</v>
      </c>
    </row>
    <row r="209" spans="1:2" x14ac:dyDescent="0.3">
      <c r="A209" s="5" t="s">
        <v>268</v>
      </c>
      <c r="B209" s="5" t="s">
        <v>269</v>
      </c>
    </row>
    <row r="210" spans="1:2" x14ac:dyDescent="0.3">
      <c r="A210" s="5" t="s">
        <v>270</v>
      </c>
      <c r="B210" s="5" t="s">
        <v>271</v>
      </c>
    </row>
    <row r="211" spans="1:2" x14ac:dyDescent="0.3">
      <c r="A211" s="5" t="s">
        <v>272</v>
      </c>
      <c r="B211" s="5" t="s">
        <v>273</v>
      </c>
    </row>
    <row r="212" spans="1:2" x14ac:dyDescent="0.3">
      <c r="A212" s="5" t="s">
        <v>274</v>
      </c>
      <c r="B212" s="5" t="s">
        <v>275</v>
      </c>
    </row>
    <row r="213" spans="1:2" x14ac:dyDescent="0.3">
      <c r="A213" s="5" t="s">
        <v>276</v>
      </c>
      <c r="B213" s="5" t="s">
        <v>277</v>
      </c>
    </row>
    <row r="214" spans="1:2" x14ac:dyDescent="0.3">
      <c r="A214" s="5" t="s">
        <v>278</v>
      </c>
      <c r="B214" s="5" t="s">
        <v>279</v>
      </c>
    </row>
    <row r="215" spans="1:2" x14ac:dyDescent="0.3">
      <c r="A215" s="5" t="s">
        <v>280</v>
      </c>
      <c r="B215" s="5" t="s">
        <v>281</v>
      </c>
    </row>
    <row r="216" spans="1:2" x14ac:dyDescent="0.3">
      <c r="A216" s="5" t="s">
        <v>282</v>
      </c>
      <c r="B216" s="5" t="s">
        <v>283</v>
      </c>
    </row>
    <row r="217" spans="1:2" x14ac:dyDescent="0.3">
      <c r="A217" s="5" t="s">
        <v>284</v>
      </c>
      <c r="B217" s="5" t="s">
        <v>285</v>
      </c>
    </row>
    <row r="218" spans="1:2" x14ac:dyDescent="0.3">
      <c r="A218" s="5" t="s">
        <v>286</v>
      </c>
      <c r="B218" s="5" t="s">
        <v>287</v>
      </c>
    </row>
    <row r="219" spans="1:2" x14ac:dyDescent="0.3">
      <c r="A219" s="5" t="s">
        <v>288</v>
      </c>
      <c r="B219" s="5" t="s">
        <v>289</v>
      </c>
    </row>
    <row r="220" spans="1:2" x14ac:dyDescent="0.3">
      <c r="A220" s="5" t="s">
        <v>290</v>
      </c>
      <c r="B220" s="5" t="s">
        <v>291</v>
      </c>
    </row>
    <row r="221" spans="1:2" x14ac:dyDescent="0.3">
      <c r="A221" s="5" t="s">
        <v>292</v>
      </c>
      <c r="B221" s="5" t="s">
        <v>293</v>
      </c>
    </row>
    <row r="222" spans="1:2" x14ac:dyDescent="0.3">
      <c r="A222" s="5" t="s">
        <v>294</v>
      </c>
      <c r="B222" s="5" t="s">
        <v>295</v>
      </c>
    </row>
    <row r="223" spans="1:2" x14ac:dyDescent="0.3">
      <c r="A223" s="5" t="s">
        <v>296</v>
      </c>
      <c r="B223" s="5" t="s">
        <v>297</v>
      </c>
    </row>
    <row r="224" spans="1:2" x14ac:dyDescent="0.3">
      <c r="A224" s="5" t="s">
        <v>298</v>
      </c>
      <c r="B224" s="5" t="s">
        <v>299</v>
      </c>
    </row>
    <row r="225" spans="1:2" x14ac:dyDescent="0.3">
      <c r="A225" s="5" t="s">
        <v>300</v>
      </c>
      <c r="B225" s="5" t="s">
        <v>301</v>
      </c>
    </row>
    <row r="226" spans="1:2" x14ac:dyDescent="0.3">
      <c r="A226" s="5" t="s">
        <v>302</v>
      </c>
      <c r="B226" s="5" t="s">
        <v>303</v>
      </c>
    </row>
    <row r="227" spans="1:2" x14ac:dyDescent="0.3">
      <c r="A227" s="5" t="s">
        <v>304</v>
      </c>
      <c r="B227" s="5" t="s">
        <v>305</v>
      </c>
    </row>
    <row r="228" spans="1:2" x14ac:dyDescent="0.3">
      <c r="A228" s="5" t="s">
        <v>306</v>
      </c>
      <c r="B228" s="5" t="s">
        <v>307</v>
      </c>
    </row>
    <row r="229" spans="1:2" x14ac:dyDescent="0.3">
      <c r="A229" s="5" t="s">
        <v>308</v>
      </c>
      <c r="B229" s="5" t="s">
        <v>309</v>
      </c>
    </row>
    <row r="230" spans="1:2" x14ac:dyDescent="0.3">
      <c r="A230" s="5" t="s">
        <v>310</v>
      </c>
      <c r="B230" s="5" t="s">
        <v>311</v>
      </c>
    </row>
    <row r="231" spans="1:2" x14ac:dyDescent="0.3">
      <c r="A231" s="5" t="s">
        <v>312</v>
      </c>
      <c r="B231" s="5" t="s">
        <v>313</v>
      </c>
    </row>
    <row r="232" spans="1:2" x14ac:dyDescent="0.3">
      <c r="A232" s="5" t="s">
        <v>314</v>
      </c>
      <c r="B232" s="5" t="s">
        <v>315</v>
      </c>
    </row>
    <row r="233" spans="1:2" x14ac:dyDescent="0.3">
      <c r="A233" s="5" t="s">
        <v>316</v>
      </c>
      <c r="B233" s="5" t="s">
        <v>317</v>
      </c>
    </row>
    <row r="234" spans="1:2" x14ac:dyDescent="0.3">
      <c r="A234" s="5" t="s">
        <v>318</v>
      </c>
      <c r="B234" s="5" t="s">
        <v>319</v>
      </c>
    </row>
    <row r="235" spans="1:2" x14ac:dyDescent="0.3">
      <c r="A235" s="5" t="s">
        <v>320</v>
      </c>
      <c r="B235" s="5" t="s">
        <v>321</v>
      </c>
    </row>
    <row r="236" spans="1:2" x14ac:dyDescent="0.3">
      <c r="A236" s="5" t="s">
        <v>322</v>
      </c>
      <c r="B236" s="5" t="s">
        <v>323</v>
      </c>
    </row>
    <row r="237" spans="1:2" x14ac:dyDescent="0.3">
      <c r="A237" s="5" t="s">
        <v>324</v>
      </c>
      <c r="B237" s="5" t="s">
        <v>325</v>
      </c>
    </row>
    <row r="238" spans="1:2" x14ac:dyDescent="0.3">
      <c r="A238" s="5" t="s">
        <v>326</v>
      </c>
      <c r="B238" s="5" t="s">
        <v>327</v>
      </c>
    </row>
    <row r="239" spans="1:2" x14ac:dyDescent="0.3">
      <c r="A239" s="5" t="s">
        <v>328</v>
      </c>
      <c r="B239" s="5" t="s">
        <v>329</v>
      </c>
    </row>
    <row r="240" spans="1:2" x14ac:dyDescent="0.3">
      <c r="A240" s="5" t="s">
        <v>330</v>
      </c>
      <c r="B240" s="5" t="s">
        <v>331</v>
      </c>
    </row>
    <row r="241" spans="1:2" x14ac:dyDescent="0.3">
      <c r="A241" s="5" t="s">
        <v>332</v>
      </c>
      <c r="B241" s="5" t="s">
        <v>333</v>
      </c>
    </row>
    <row r="242" spans="1:2" x14ac:dyDescent="0.3">
      <c r="A242" s="5" t="s">
        <v>334</v>
      </c>
      <c r="B242" s="5" t="s">
        <v>335</v>
      </c>
    </row>
    <row r="243" spans="1:2" x14ac:dyDescent="0.3">
      <c r="A243" s="5" t="s">
        <v>336</v>
      </c>
      <c r="B243" s="5" t="s">
        <v>337</v>
      </c>
    </row>
    <row r="244" spans="1:2" x14ac:dyDescent="0.3">
      <c r="A244" s="5" t="s">
        <v>338</v>
      </c>
      <c r="B244" s="5" t="s">
        <v>339</v>
      </c>
    </row>
    <row r="245" spans="1:2" x14ac:dyDescent="0.3">
      <c r="A245" s="5" t="s">
        <v>340</v>
      </c>
      <c r="B245" s="5" t="s">
        <v>341</v>
      </c>
    </row>
    <row r="246" spans="1:2" x14ac:dyDescent="0.3">
      <c r="A246" s="5" t="s">
        <v>342</v>
      </c>
      <c r="B246" s="5" t="s">
        <v>343</v>
      </c>
    </row>
    <row r="247" spans="1:2" x14ac:dyDescent="0.3">
      <c r="A247" s="5" t="s">
        <v>344</v>
      </c>
      <c r="B247" s="5" t="s">
        <v>345</v>
      </c>
    </row>
    <row r="248" spans="1:2" x14ac:dyDescent="0.3">
      <c r="A248" s="5" t="s">
        <v>346</v>
      </c>
      <c r="B248" s="5" t="s">
        <v>347</v>
      </c>
    </row>
    <row r="249" spans="1:2" x14ac:dyDescent="0.3">
      <c r="A249" s="5" t="s">
        <v>348</v>
      </c>
      <c r="B249" s="5" t="s">
        <v>349</v>
      </c>
    </row>
    <row r="250" spans="1:2" x14ac:dyDescent="0.3">
      <c r="A250" s="5" t="s">
        <v>350</v>
      </c>
      <c r="B250" s="5" t="s">
        <v>351</v>
      </c>
    </row>
    <row r="251" spans="1:2" x14ac:dyDescent="0.3">
      <c r="A251" s="5" t="s">
        <v>352</v>
      </c>
      <c r="B251" s="5" t="s">
        <v>353</v>
      </c>
    </row>
    <row r="252" spans="1:2" x14ac:dyDescent="0.3">
      <c r="A252" s="5" t="s">
        <v>354</v>
      </c>
      <c r="B252" s="5" t="s">
        <v>355</v>
      </c>
    </row>
    <row r="253" spans="1:2" x14ac:dyDescent="0.3">
      <c r="A253" s="5" t="s">
        <v>356</v>
      </c>
      <c r="B253" s="5" t="s">
        <v>357</v>
      </c>
    </row>
    <row r="254" spans="1:2" x14ac:dyDescent="0.3">
      <c r="A254" s="5" t="s">
        <v>358</v>
      </c>
      <c r="B254" s="5" t="s">
        <v>359</v>
      </c>
    </row>
    <row r="255" spans="1:2" x14ac:dyDescent="0.3">
      <c r="A255" s="5" t="s">
        <v>360</v>
      </c>
      <c r="B255" s="5" t="s">
        <v>361</v>
      </c>
    </row>
    <row r="256" spans="1:2" x14ac:dyDescent="0.3">
      <c r="A256" s="5" t="s">
        <v>362</v>
      </c>
      <c r="B256" s="5" t="s">
        <v>363</v>
      </c>
    </row>
    <row r="257" spans="1:2" x14ac:dyDescent="0.3">
      <c r="A257" s="5" t="s">
        <v>364</v>
      </c>
      <c r="B257" s="5" t="s">
        <v>365</v>
      </c>
    </row>
    <row r="258" spans="1:2" x14ac:dyDescent="0.3">
      <c r="A258" s="5" t="s">
        <v>366</v>
      </c>
      <c r="B258" s="5" t="s">
        <v>367</v>
      </c>
    </row>
    <row r="259" spans="1:2" x14ac:dyDescent="0.3">
      <c r="A259" s="5" t="s">
        <v>368</v>
      </c>
      <c r="B259" s="5" t="s">
        <v>369</v>
      </c>
    </row>
    <row r="260" spans="1:2" x14ac:dyDescent="0.3">
      <c r="A260" s="5" t="s">
        <v>370</v>
      </c>
      <c r="B260" s="5" t="s">
        <v>371</v>
      </c>
    </row>
    <row r="261" spans="1:2" x14ac:dyDescent="0.3">
      <c r="A261" s="5" t="s">
        <v>372</v>
      </c>
      <c r="B261" s="5" t="s">
        <v>373</v>
      </c>
    </row>
    <row r="262" spans="1:2" x14ac:dyDescent="0.3">
      <c r="A262" s="5" t="s">
        <v>374</v>
      </c>
      <c r="B262" s="5" t="s">
        <v>375</v>
      </c>
    </row>
    <row r="263" spans="1:2" x14ac:dyDescent="0.3">
      <c r="A263" s="5" t="s">
        <v>376</v>
      </c>
      <c r="B263" s="5" t="s">
        <v>377</v>
      </c>
    </row>
    <row r="264" spans="1:2" x14ac:dyDescent="0.3">
      <c r="A264" s="5" t="s">
        <v>378</v>
      </c>
      <c r="B264" s="5" t="s">
        <v>379</v>
      </c>
    </row>
    <row r="265" spans="1:2" x14ac:dyDescent="0.3">
      <c r="A265" s="5" t="s">
        <v>380</v>
      </c>
      <c r="B265" s="5" t="s">
        <v>381</v>
      </c>
    </row>
    <row r="266" spans="1:2" x14ac:dyDescent="0.3">
      <c r="A266" s="5" t="s">
        <v>382</v>
      </c>
      <c r="B266" s="5" t="s">
        <v>383</v>
      </c>
    </row>
    <row r="267" spans="1:2" x14ac:dyDescent="0.3">
      <c r="A267" s="5" t="s">
        <v>384</v>
      </c>
      <c r="B267" s="5" t="s">
        <v>385</v>
      </c>
    </row>
    <row r="268" spans="1:2" x14ac:dyDescent="0.3">
      <c r="A268" s="5" t="s">
        <v>386</v>
      </c>
      <c r="B268" s="5" t="s">
        <v>387</v>
      </c>
    </row>
  </sheetData>
  <dataConsolidate/>
  <mergeCells count="40">
    <mergeCell ref="A9:B10"/>
    <mergeCell ref="F9:I9"/>
    <mergeCell ref="C22:F22"/>
    <mergeCell ref="H22:I22"/>
    <mergeCell ref="A11:B11"/>
    <mergeCell ref="F15:I15"/>
    <mergeCell ref="A17:B17"/>
    <mergeCell ref="A19:B19"/>
    <mergeCell ref="F19:I19"/>
    <mergeCell ref="E20:I20"/>
    <mergeCell ref="H21:I21"/>
    <mergeCell ref="B1:I4"/>
    <mergeCell ref="K2:K4"/>
    <mergeCell ref="A5:B5"/>
    <mergeCell ref="A7:B7"/>
    <mergeCell ref="F7:I7"/>
    <mergeCell ref="H30:I30"/>
    <mergeCell ref="A31:B31"/>
    <mergeCell ref="C31:F31"/>
    <mergeCell ref="H31:I31"/>
    <mergeCell ref="B23:H23"/>
    <mergeCell ref="A29:B29"/>
    <mergeCell ref="C29:F29"/>
    <mergeCell ref="H29:I29"/>
    <mergeCell ref="K13:K16"/>
    <mergeCell ref="G27:H27"/>
    <mergeCell ref="G28:H28"/>
    <mergeCell ref="A56:B56"/>
    <mergeCell ref="B24:F24"/>
    <mergeCell ref="B26:F26"/>
    <mergeCell ref="B25:F25"/>
    <mergeCell ref="A34:B34"/>
    <mergeCell ref="A35:B35"/>
    <mergeCell ref="A37:B37"/>
    <mergeCell ref="A39:B39"/>
    <mergeCell ref="A52:B52"/>
    <mergeCell ref="A54:B54"/>
    <mergeCell ref="A30:B30"/>
    <mergeCell ref="C30:F30"/>
    <mergeCell ref="C21:F21"/>
  </mergeCells>
  <dataValidations count="3">
    <dataValidation type="date" allowBlank="1" showInputMessage="1" showErrorMessage="1" sqref="G17 I17">
      <formula1>40909</formula1>
      <formula2>42735</formula2>
    </dataValidation>
    <dataValidation type="list" allowBlank="1" showInputMessage="1" showErrorMessage="1" sqref="C19">
      <formula1>$B$115:$B$118</formula1>
    </dataValidation>
    <dataValidation type="decimal" allowBlank="1" showInputMessage="1" showErrorMessage="1" sqref="E27:E28">
      <formula1>0</formula1>
      <formula2>1E+36</formula2>
    </dataValidation>
  </dataValidations>
  <printOptions horizontalCentered="1" verticalCentered="1"/>
  <pageMargins left="0" right="0" top="0" bottom="0" header="0" footer="0"/>
  <pageSetup paperSize="9" scale="37" orientation="portrait" r:id="rId1"/>
  <headerFooter alignWithMargins="0"/>
  <rowBreaks count="1" manualBreakCount="1">
    <brk id="32"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mailPAF">
                <anchor moveWithCells="1" sizeWithCells="1">
                  <from>
                    <xdr:col>8</xdr:col>
                    <xdr:colOff>0</xdr:colOff>
                    <xdr:row>1</xdr:row>
                    <xdr:rowOff>0</xdr:rowOff>
                  </from>
                  <to>
                    <xdr:col>9</xdr:col>
                    <xdr:colOff>0</xdr:colOff>
                    <xdr:row>3</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P23"/>
  <sheetViews>
    <sheetView workbookViewId="0">
      <selection activeCell="M17" sqref="M17"/>
    </sheetView>
  </sheetViews>
  <sheetFormatPr defaultRowHeight="15" x14ac:dyDescent="0.25"/>
  <cols>
    <col min="2" max="2" width="9.140625" style="198"/>
    <col min="3" max="3" width="10.5703125" bestFit="1" customWidth="1"/>
    <col min="4" max="4" width="11.5703125" bestFit="1" customWidth="1"/>
    <col min="5" max="5" width="9.5703125" bestFit="1" customWidth="1"/>
    <col min="6" max="6" width="11.5703125" bestFit="1" customWidth="1"/>
    <col min="7" max="7" width="10.5703125" bestFit="1" customWidth="1"/>
    <col min="9" max="9" width="10.5703125" bestFit="1" customWidth="1"/>
    <col min="10" max="10" width="11.5703125" bestFit="1" customWidth="1"/>
    <col min="11" max="11" width="10.5703125" bestFit="1" customWidth="1"/>
    <col min="12" max="12" width="11.5703125" bestFit="1" customWidth="1"/>
  </cols>
  <sheetData>
    <row r="1" spans="3:16" x14ac:dyDescent="0.25">
      <c r="C1" s="284"/>
      <c r="D1" s="284"/>
      <c r="F1" s="284"/>
      <c r="G1" s="284"/>
      <c r="J1" s="284"/>
      <c r="K1" s="284"/>
      <c r="L1" s="284"/>
      <c r="M1" s="285"/>
      <c r="P1" s="285"/>
    </row>
    <row r="2" spans="3:16" x14ac:dyDescent="0.25">
      <c r="C2" s="284"/>
      <c r="D2" s="284"/>
      <c r="E2" s="284"/>
      <c r="F2" s="284"/>
      <c r="G2" s="284"/>
      <c r="J2" s="284"/>
      <c r="K2" s="284"/>
      <c r="L2" s="284"/>
      <c r="M2" s="285"/>
      <c r="P2" s="285"/>
    </row>
    <row r="3" spans="3:16" x14ac:dyDescent="0.25">
      <c r="C3" s="284"/>
      <c r="D3" s="284"/>
      <c r="E3" s="284"/>
      <c r="F3" s="284"/>
      <c r="G3" s="284"/>
      <c r="I3" s="284"/>
      <c r="J3" s="284"/>
      <c r="K3" s="284"/>
      <c r="L3" s="284"/>
      <c r="M3" s="285"/>
      <c r="P3" s="285"/>
    </row>
    <row r="4" spans="3:16" x14ac:dyDescent="0.25">
      <c r="C4" s="284"/>
      <c r="D4" s="284"/>
      <c r="E4" s="284"/>
      <c r="F4" s="284"/>
      <c r="G4" s="284"/>
      <c r="J4" s="284"/>
      <c r="K4" s="284"/>
      <c r="L4" s="284"/>
      <c r="M4" s="285"/>
      <c r="P4" s="285"/>
    </row>
    <row r="5" spans="3:16" x14ac:dyDescent="0.25">
      <c r="C5" s="284"/>
      <c r="D5" s="284"/>
      <c r="F5" s="284"/>
      <c r="G5" s="284"/>
      <c r="J5" s="284"/>
      <c r="K5" s="284"/>
      <c r="M5" s="285"/>
      <c r="P5" s="285"/>
    </row>
    <row r="6" spans="3:16" x14ac:dyDescent="0.25">
      <c r="C6" s="284"/>
      <c r="D6" s="284"/>
      <c r="F6" s="284"/>
      <c r="G6" s="284"/>
      <c r="I6" s="284"/>
      <c r="J6" s="284"/>
      <c r="K6" s="284"/>
      <c r="L6" s="284"/>
      <c r="M6" s="285"/>
      <c r="P6" s="285"/>
    </row>
    <row r="7" spans="3:16" x14ac:dyDescent="0.25">
      <c r="C7" s="284"/>
      <c r="D7" s="284"/>
      <c r="F7" s="284"/>
      <c r="G7" s="284"/>
      <c r="J7" s="284"/>
      <c r="K7" s="284"/>
      <c r="L7" s="284"/>
      <c r="M7" s="285"/>
      <c r="P7" s="285"/>
    </row>
    <row r="8" spans="3:16" x14ac:dyDescent="0.25">
      <c r="C8" s="284"/>
      <c r="D8" s="284"/>
      <c r="F8" s="284"/>
      <c r="G8" s="284"/>
      <c r="I8" s="284"/>
      <c r="J8" s="284"/>
      <c r="K8" s="284"/>
      <c r="L8" s="284"/>
      <c r="M8" s="285"/>
      <c r="P8" s="285"/>
    </row>
    <row r="9" spans="3:16" x14ac:dyDescent="0.25">
      <c r="C9" s="284"/>
      <c r="D9" s="284"/>
      <c r="F9" s="284"/>
      <c r="G9" s="284"/>
      <c r="I9" s="284"/>
      <c r="J9" s="284"/>
      <c r="K9" s="284"/>
      <c r="L9" s="284"/>
      <c r="M9" s="285"/>
      <c r="P9" s="285"/>
    </row>
    <row r="10" spans="3:16" x14ac:dyDescent="0.25">
      <c r="C10" s="284"/>
      <c r="D10" s="284"/>
      <c r="F10" s="284"/>
      <c r="G10" s="284"/>
      <c r="J10" s="284"/>
      <c r="K10" s="284"/>
      <c r="L10" s="284"/>
      <c r="M10" s="285"/>
      <c r="P10" s="285"/>
    </row>
    <row r="11" spans="3:16" x14ac:dyDescent="0.25">
      <c r="C11" s="284"/>
      <c r="D11" s="284"/>
      <c r="F11" s="284"/>
      <c r="G11" s="284"/>
      <c r="J11" s="284"/>
      <c r="K11" s="284"/>
      <c r="L11" s="284"/>
      <c r="M11" s="285"/>
      <c r="P11" s="285"/>
    </row>
    <row r="12" spans="3:16" x14ac:dyDescent="0.25">
      <c r="C12" s="284"/>
      <c r="D12" s="284"/>
      <c r="F12" s="284"/>
      <c r="G12" s="284"/>
      <c r="I12" s="284"/>
      <c r="J12" s="284"/>
      <c r="K12" s="284"/>
      <c r="L12" s="284"/>
      <c r="M12" s="285"/>
      <c r="P12" s="285"/>
    </row>
    <row r="13" spans="3:16" x14ac:dyDescent="0.25">
      <c r="C13" s="284"/>
      <c r="D13" s="284"/>
      <c r="F13" s="284"/>
      <c r="G13" s="284"/>
      <c r="J13" s="284"/>
      <c r="K13" s="284"/>
      <c r="L13" s="284"/>
      <c r="M13" s="285"/>
      <c r="P13" s="285"/>
    </row>
    <row r="14" spans="3:16" x14ac:dyDescent="0.25">
      <c r="C14" s="284"/>
      <c r="D14" s="284"/>
      <c r="F14" s="284"/>
      <c r="G14" s="284"/>
      <c r="I14" s="284"/>
      <c r="J14" s="284"/>
      <c r="K14" s="284"/>
      <c r="L14" s="284"/>
      <c r="M14" s="285"/>
      <c r="P14" s="285"/>
    </row>
    <row r="15" spans="3:16" x14ac:dyDescent="0.25">
      <c r="C15" s="284"/>
      <c r="D15" s="284"/>
      <c r="F15" s="284"/>
      <c r="G15" s="284"/>
      <c r="I15" s="284"/>
      <c r="J15" s="284"/>
      <c r="K15" s="284"/>
      <c r="L15" s="284"/>
      <c r="M15" s="285"/>
      <c r="P15" s="285"/>
    </row>
    <row r="16" spans="3:16" x14ac:dyDescent="0.25">
      <c r="C16" s="284"/>
      <c r="D16" s="284"/>
      <c r="E16" s="284"/>
      <c r="J16" s="284"/>
      <c r="K16" s="284"/>
      <c r="L16" s="284"/>
      <c r="M16" s="285"/>
      <c r="P16" s="285"/>
    </row>
    <row r="17" spans="3:16" x14ac:dyDescent="0.25">
      <c r="C17" s="284"/>
      <c r="D17" s="284"/>
      <c r="E17" s="284"/>
      <c r="F17" s="284"/>
      <c r="G17" s="284"/>
      <c r="I17" s="284"/>
      <c r="J17" s="284"/>
      <c r="K17" s="284"/>
      <c r="L17" s="284"/>
      <c r="M17" s="285"/>
      <c r="P17" s="285"/>
    </row>
    <row r="18" spans="3:16" x14ac:dyDescent="0.25">
      <c r="D18" s="284"/>
      <c r="E18" s="284"/>
      <c r="J18" s="284"/>
      <c r="K18" s="284"/>
      <c r="L18" s="284"/>
      <c r="M18" s="285"/>
      <c r="P18" s="285"/>
    </row>
    <row r="19" spans="3:16" x14ac:dyDescent="0.25">
      <c r="C19" s="284"/>
      <c r="D19" s="284"/>
      <c r="F19" s="284"/>
      <c r="G19" s="284"/>
      <c r="J19" s="284"/>
      <c r="K19" s="284"/>
      <c r="L19" s="284"/>
      <c r="M19" s="285"/>
      <c r="P19" s="285"/>
    </row>
    <row r="20" spans="3:16" x14ac:dyDescent="0.25">
      <c r="C20" s="284"/>
      <c r="D20" s="284"/>
      <c r="F20" s="284"/>
      <c r="G20" s="284"/>
      <c r="I20" s="284"/>
      <c r="K20" s="284"/>
      <c r="L20" s="284"/>
      <c r="M20" s="285"/>
      <c r="P20" s="285"/>
    </row>
    <row r="21" spans="3:16" x14ac:dyDescent="0.25">
      <c r="C21" s="284"/>
      <c r="D21" s="284"/>
      <c r="E21" s="284"/>
      <c r="F21" s="284"/>
      <c r="G21" s="284"/>
      <c r="J21" s="284"/>
      <c r="K21" s="284"/>
      <c r="L21" s="284"/>
      <c r="M21" s="285"/>
      <c r="P21" s="285"/>
    </row>
    <row r="22" spans="3:16" x14ac:dyDescent="0.25">
      <c r="C22" s="284"/>
      <c r="D22" s="284"/>
      <c r="E22" s="284"/>
      <c r="F22" s="284"/>
      <c r="G22" s="284"/>
      <c r="J22" s="284"/>
      <c r="K22" s="284"/>
      <c r="L22" s="284"/>
      <c r="M22" s="285"/>
      <c r="P22" s="285"/>
    </row>
    <row r="23" spans="3:16" x14ac:dyDescent="0.25">
      <c r="C23" s="284"/>
      <c r="D23" s="284"/>
      <c r="E23" s="284"/>
      <c r="F23" s="284"/>
      <c r="G23" s="284"/>
      <c r="I23" s="284"/>
      <c r="J23" s="284"/>
      <c r="K23" s="284"/>
      <c r="L23" s="284"/>
      <c r="M23" s="285"/>
      <c r="P23" s="285"/>
    </row>
  </sheetData>
  <dataConsolidate/>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D65"/>
  <sheetViews>
    <sheetView zoomScale="70" zoomScaleNormal="70" workbookViewId="0">
      <pane xSplit="3" ySplit="8" topLeftCell="D9" activePane="bottomRight" state="frozen"/>
      <selection pane="topRight" activeCell="D1" sqref="D1"/>
      <selection pane="bottomLeft" activeCell="A9" sqref="A9"/>
      <selection pane="bottomRight" activeCell="C25" sqref="C25"/>
    </sheetView>
  </sheetViews>
  <sheetFormatPr defaultRowHeight="15" x14ac:dyDescent="0.25"/>
  <cols>
    <col min="1" max="1" width="23.5703125" customWidth="1"/>
    <col min="2" max="2" width="17" customWidth="1"/>
    <col min="3" max="3" width="19.42578125" customWidth="1"/>
    <col min="4" max="4" width="17.7109375" style="165" customWidth="1"/>
  </cols>
  <sheetData>
    <row r="1" spans="1:4" s="165" customFormat="1" x14ac:dyDescent="0.25">
      <c r="A1" s="240" t="s">
        <v>445</v>
      </c>
      <c r="C1" s="183"/>
    </row>
    <row r="2" spans="1:4" s="165" customFormat="1" x14ac:dyDescent="0.25">
      <c r="A2" s="240" t="s">
        <v>449</v>
      </c>
      <c r="C2" s="183"/>
    </row>
    <row r="3" spans="1:4" s="165" customFormat="1" x14ac:dyDescent="0.25">
      <c r="A3" s="240" t="s">
        <v>446</v>
      </c>
      <c r="C3" s="183"/>
    </row>
    <row r="4" spans="1:4" s="165" customFormat="1" x14ac:dyDescent="0.25">
      <c r="A4" s="240" t="s">
        <v>447</v>
      </c>
      <c r="C4" s="183"/>
    </row>
    <row r="5" spans="1:4" s="165" customFormat="1" x14ac:dyDescent="0.25">
      <c r="A5" s="240" t="s">
        <v>448</v>
      </c>
      <c r="C5" s="183"/>
    </row>
    <row r="6" spans="1:4" s="283" customFormat="1" x14ac:dyDescent="0.25"/>
    <row r="7" spans="1:4" s="283" customFormat="1" x14ac:dyDescent="0.25"/>
    <row r="8" spans="1:4" ht="68.25" customHeight="1" x14ac:dyDescent="0.25">
      <c r="A8" s="629"/>
      <c r="B8" s="630"/>
      <c r="C8" s="225" t="s">
        <v>397</v>
      </c>
      <c r="D8" s="225"/>
    </row>
    <row r="9" spans="1:4" x14ac:dyDescent="0.25">
      <c r="A9" s="200"/>
      <c r="B9" s="201"/>
      <c r="C9" s="226"/>
      <c r="D9" s="226"/>
    </row>
    <row r="10" spans="1:4" x14ac:dyDescent="0.25">
      <c r="A10" s="202" t="s">
        <v>425</v>
      </c>
      <c r="B10" s="203"/>
      <c r="C10" s="227"/>
      <c r="D10" s="227"/>
    </row>
    <row r="11" spans="1:4" x14ac:dyDescent="0.25">
      <c r="A11" s="204" t="s">
        <v>426</v>
      </c>
      <c r="B11" s="203"/>
      <c r="C11" s="228"/>
      <c r="D11" s="228"/>
    </row>
    <row r="12" spans="1:4" x14ac:dyDescent="0.25">
      <c r="A12" s="204" t="s">
        <v>427</v>
      </c>
      <c r="B12" s="203"/>
      <c r="C12" s="228">
        <f>C11/9</f>
        <v>0</v>
      </c>
      <c r="D12" s="228"/>
    </row>
    <row r="13" spans="1:4" x14ac:dyDescent="0.25">
      <c r="A13" s="205"/>
      <c r="B13" s="206"/>
      <c r="C13" s="228"/>
      <c r="D13" s="228"/>
    </row>
    <row r="14" spans="1:4" x14ac:dyDescent="0.25">
      <c r="A14" s="202" t="s">
        <v>428</v>
      </c>
      <c r="B14" s="207"/>
      <c r="C14" s="230"/>
      <c r="D14" s="230"/>
    </row>
    <row r="15" spans="1:4" x14ac:dyDescent="0.25">
      <c r="A15" s="202"/>
      <c r="B15" s="207"/>
      <c r="C15" s="228"/>
      <c r="D15" s="228"/>
    </row>
    <row r="16" spans="1:4" s="165" customFormat="1" ht="15.75" x14ac:dyDescent="0.25">
      <c r="A16" s="208" t="s">
        <v>472</v>
      </c>
      <c r="B16" s="207"/>
      <c r="C16" s="228"/>
      <c r="D16" s="228"/>
    </row>
    <row r="17" spans="1:4" s="165" customFormat="1" ht="15.75" x14ac:dyDescent="0.25">
      <c r="A17" s="208" t="s">
        <v>466</v>
      </c>
      <c r="B17" s="207"/>
      <c r="C17" s="228"/>
      <c r="D17" s="228"/>
    </row>
    <row r="18" spans="1:4" s="165" customFormat="1" ht="15.75" x14ac:dyDescent="0.25">
      <c r="A18" s="208" t="s">
        <v>467</v>
      </c>
      <c r="B18" s="207"/>
      <c r="C18" s="228"/>
      <c r="D18" s="228"/>
    </row>
    <row r="19" spans="1:4" ht="15.75" x14ac:dyDescent="0.25">
      <c r="A19" s="208" t="s">
        <v>455</v>
      </c>
      <c r="B19" s="207"/>
      <c r="C19" s="228"/>
      <c r="D19" s="228"/>
    </row>
    <row r="20" spans="1:4" s="165" customFormat="1" ht="15.75" x14ac:dyDescent="0.25">
      <c r="A20" s="208" t="s">
        <v>468</v>
      </c>
      <c r="B20" s="207"/>
      <c r="C20" s="228"/>
      <c r="D20" s="228"/>
    </row>
    <row r="21" spans="1:4" ht="15.75" x14ac:dyDescent="0.25">
      <c r="A21" s="208" t="s">
        <v>98</v>
      </c>
      <c r="B21" s="207"/>
      <c r="C21" s="228"/>
      <c r="D21" s="228"/>
    </row>
    <row r="22" spans="1:4" ht="15.75" x14ac:dyDescent="0.25">
      <c r="A22" s="208" t="s">
        <v>429</v>
      </c>
      <c r="B22" s="207"/>
      <c r="C22" s="228"/>
      <c r="D22" s="228"/>
    </row>
    <row r="23" spans="1:4" x14ac:dyDescent="0.25">
      <c r="A23" s="202" t="s">
        <v>430</v>
      </c>
      <c r="B23" s="207"/>
      <c r="C23" s="230">
        <f>SUM(C16:C22)</f>
        <v>0</v>
      </c>
      <c r="D23" s="230"/>
    </row>
    <row r="24" spans="1:4" x14ac:dyDescent="0.25">
      <c r="A24" s="209"/>
      <c r="B24" s="210"/>
      <c r="C24" s="229"/>
      <c r="D24" s="229"/>
    </row>
    <row r="25" spans="1:4" x14ac:dyDescent="0.25">
      <c r="A25" s="211" t="s">
        <v>431</v>
      </c>
      <c r="B25" s="212"/>
      <c r="C25" s="231">
        <f>C14+C23</f>
        <v>0</v>
      </c>
      <c r="D25" s="231"/>
    </row>
    <row r="26" spans="1:4" x14ac:dyDescent="0.25">
      <c r="A26" s="205"/>
      <c r="B26" s="206"/>
      <c r="C26" s="229"/>
      <c r="D26" s="229"/>
    </row>
    <row r="27" spans="1:4" x14ac:dyDescent="0.25">
      <c r="A27" s="202" t="s">
        <v>432</v>
      </c>
      <c r="B27" s="207"/>
      <c r="C27" s="228"/>
      <c r="D27" s="228"/>
    </row>
    <row r="28" spans="1:4" x14ac:dyDescent="0.25">
      <c r="A28" s="213"/>
      <c r="B28" s="203"/>
      <c r="C28" s="230"/>
      <c r="D28" s="230"/>
    </row>
    <row r="29" spans="1:4" x14ac:dyDescent="0.25">
      <c r="A29" s="211" t="s">
        <v>433</v>
      </c>
      <c r="B29" s="212"/>
      <c r="C29" s="231">
        <f>C25+C27</f>
        <v>0</v>
      </c>
      <c r="D29" s="231"/>
    </row>
    <row r="30" spans="1:4" x14ac:dyDescent="0.25">
      <c r="A30" s="214"/>
      <c r="B30" s="206"/>
      <c r="C30" s="229"/>
      <c r="D30" s="229"/>
    </row>
    <row r="31" spans="1:4" x14ac:dyDescent="0.25">
      <c r="A31" s="211" t="s">
        <v>434</v>
      </c>
      <c r="B31" s="212"/>
      <c r="C31" s="231"/>
      <c r="D31" s="231"/>
    </row>
    <row r="32" spans="1:4" x14ac:dyDescent="0.25">
      <c r="A32" s="214"/>
      <c r="B32" s="206"/>
      <c r="C32" s="229"/>
      <c r="D32" s="229"/>
    </row>
    <row r="33" spans="1:4" ht="15.75" thickBot="1" x14ac:dyDescent="0.3">
      <c r="A33" s="215" t="s">
        <v>435</v>
      </c>
      <c r="B33" s="216"/>
      <c r="C33" s="232">
        <f>C29+C31</f>
        <v>0</v>
      </c>
      <c r="D33" s="232"/>
    </row>
    <row r="34" spans="1:4" ht="15.75" thickTop="1" x14ac:dyDescent="0.25">
      <c r="A34" s="217"/>
      <c r="B34" s="218"/>
      <c r="C34" s="233"/>
      <c r="D34" s="233"/>
    </row>
    <row r="35" spans="1:4" x14ac:dyDescent="0.25">
      <c r="A35" s="234" t="s">
        <v>436</v>
      </c>
      <c r="B35" s="235"/>
      <c r="C35" s="290"/>
      <c r="D35" s="290"/>
    </row>
    <row r="36" spans="1:4" x14ac:dyDescent="0.25">
      <c r="A36" s="238" t="s">
        <v>437</v>
      </c>
      <c r="B36" s="236"/>
      <c r="C36" s="291">
        <f>IFERROR(C14/C11, 0)</f>
        <v>0</v>
      </c>
      <c r="D36" s="291"/>
    </row>
    <row r="37" spans="1:4" x14ac:dyDescent="0.25">
      <c r="A37" s="238" t="s">
        <v>438</v>
      </c>
      <c r="B37" s="236"/>
      <c r="C37" s="292">
        <f>IFERROR(-C23/C14, 0)</f>
        <v>0</v>
      </c>
      <c r="D37" s="292"/>
    </row>
    <row r="38" spans="1:4" x14ac:dyDescent="0.25">
      <c r="A38" s="238" t="s">
        <v>439</v>
      </c>
      <c r="B38" s="236"/>
      <c r="C38" s="291">
        <f>IFERROR(C25/C11, 0)</f>
        <v>0</v>
      </c>
      <c r="D38" s="291"/>
    </row>
    <row r="39" spans="1:4" x14ac:dyDescent="0.25">
      <c r="A39" s="238" t="s">
        <v>440</v>
      </c>
      <c r="B39" s="236"/>
      <c r="C39" s="291">
        <f>IFERROR(-C27/C11, 0)</f>
        <v>0</v>
      </c>
      <c r="D39" s="291"/>
    </row>
    <row r="40" spans="1:4" x14ac:dyDescent="0.25">
      <c r="A40" s="238" t="s">
        <v>441</v>
      </c>
      <c r="B40" s="236"/>
      <c r="C40" s="291">
        <f>IFERROR(C29/C11, 0)</f>
        <v>0</v>
      </c>
      <c r="D40" s="291"/>
    </row>
    <row r="41" spans="1:4" x14ac:dyDescent="0.25">
      <c r="A41" s="238" t="s">
        <v>442</v>
      </c>
      <c r="B41" s="236"/>
      <c r="C41" s="292">
        <f>IFERROR(C29/C25, 0)</f>
        <v>0</v>
      </c>
      <c r="D41" s="292"/>
    </row>
    <row r="42" spans="1:4" x14ac:dyDescent="0.25">
      <c r="A42" s="238" t="s">
        <v>443</v>
      </c>
      <c r="B42" s="236"/>
      <c r="C42" s="292">
        <f>IFERROR(-C31/C25, 0)</f>
        <v>0</v>
      </c>
      <c r="D42" s="292"/>
    </row>
    <row r="43" spans="1:4" x14ac:dyDescent="0.25">
      <c r="A43" s="239" t="s">
        <v>444</v>
      </c>
      <c r="B43" s="237"/>
      <c r="C43" s="293">
        <f>IFERROR(C33/C11, 0)</f>
        <v>0</v>
      </c>
      <c r="D43" s="293"/>
    </row>
    <row r="44" spans="1:4" ht="15.75" x14ac:dyDescent="0.25">
      <c r="A44" s="199"/>
      <c r="B44" s="199"/>
      <c r="C44" s="295"/>
      <c r="D44" s="295"/>
    </row>
    <row r="45" spans="1:4" ht="15.75" x14ac:dyDescent="0.25">
      <c r="A45" s="219" t="s">
        <v>647</v>
      </c>
      <c r="B45" s="220"/>
      <c r="C45" s="294">
        <f>IFERROR(-(C17+C18)/C14,0)</f>
        <v>0</v>
      </c>
      <c r="D45" s="298"/>
    </row>
    <row r="46" spans="1:4" ht="15.75" x14ac:dyDescent="0.25">
      <c r="A46" s="221" t="s">
        <v>469</v>
      </c>
      <c r="B46" s="222"/>
      <c r="C46" s="296">
        <f>IFERROR(-C21/C12,0)</f>
        <v>0</v>
      </c>
      <c r="D46" s="296"/>
    </row>
    <row r="47" spans="1:4" ht="15.75" x14ac:dyDescent="0.25">
      <c r="A47" s="223" t="s">
        <v>470</v>
      </c>
      <c r="B47" s="224"/>
      <c r="C47" s="297"/>
      <c r="D47" s="297"/>
    </row>
    <row r="48" spans="1:4" s="283" customFormat="1" x14ac:dyDescent="0.25"/>
    <row r="49" spans="1:2" s="283" customFormat="1" x14ac:dyDescent="0.25"/>
    <row r="50" spans="1:2" x14ac:dyDescent="0.25">
      <c r="A50" s="286" t="s">
        <v>429</v>
      </c>
      <c r="B50" s="287" t="s">
        <v>396</v>
      </c>
    </row>
    <row r="51" spans="1:2" x14ac:dyDescent="0.25">
      <c r="A51" s="289" t="s">
        <v>460</v>
      </c>
      <c r="B51" s="168"/>
    </row>
    <row r="52" spans="1:2" x14ac:dyDescent="0.25">
      <c r="A52" s="289" t="s">
        <v>96</v>
      </c>
      <c r="B52" s="168"/>
    </row>
    <row r="53" spans="1:2" x14ac:dyDescent="0.25">
      <c r="A53" s="289" t="s">
        <v>461</v>
      </c>
      <c r="B53" s="168"/>
    </row>
    <row r="54" spans="1:2" x14ac:dyDescent="0.25">
      <c r="A54" s="289" t="s">
        <v>462</v>
      </c>
      <c r="B54" s="168"/>
    </row>
    <row r="55" spans="1:2" x14ac:dyDescent="0.25">
      <c r="A55" s="289" t="s">
        <v>463</v>
      </c>
      <c r="B55" s="168"/>
    </row>
    <row r="56" spans="1:2" x14ac:dyDescent="0.25">
      <c r="A56" s="165"/>
    </row>
    <row r="57" spans="1:2" x14ac:dyDescent="0.25">
      <c r="A57" s="286" t="s">
        <v>464</v>
      </c>
      <c r="B57" s="287" t="s">
        <v>396</v>
      </c>
    </row>
    <row r="58" spans="1:2" x14ac:dyDescent="0.25">
      <c r="A58" s="289" t="s">
        <v>460</v>
      </c>
      <c r="B58" s="168"/>
    </row>
    <row r="59" spans="1:2" x14ac:dyDescent="0.25">
      <c r="A59" s="289" t="s">
        <v>96</v>
      </c>
      <c r="B59" s="168"/>
    </row>
    <row r="60" spans="1:2" x14ac:dyDescent="0.25">
      <c r="A60" s="289" t="s">
        <v>461</v>
      </c>
      <c r="B60" s="168"/>
    </row>
    <row r="61" spans="1:2" x14ac:dyDescent="0.25">
      <c r="A61" s="289" t="s">
        <v>462</v>
      </c>
      <c r="B61" s="168"/>
    </row>
    <row r="62" spans="1:2" x14ac:dyDescent="0.25">
      <c r="A62" s="289" t="s">
        <v>463</v>
      </c>
      <c r="B62" s="168"/>
    </row>
    <row r="63" spans="1:2" x14ac:dyDescent="0.25">
      <c r="A63" s="165"/>
    </row>
    <row r="64" spans="1:2" x14ac:dyDescent="0.25">
      <c r="A64" s="288"/>
      <c r="B64" s="287" t="s">
        <v>396</v>
      </c>
    </row>
    <row r="65" spans="1:2" x14ac:dyDescent="0.25">
      <c r="A65" s="289" t="s">
        <v>465</v>
      </c>
      <c r="B65" s="168"/>
    </row>
  </sheetData>
  <dataConsolidate/>
  <mergeCells count="1">
    <mergeCell ref="A8:B8"/>
  </mergeCell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F50"/>
  <sheetViews>
    <sheetView zoomScale="70" zoomScaleNormal="70" workbookViewId="0">
      <selection activeCell="F23" sqref="F23"/>
    </sheetView>
  </sheetViews>
  <sheetFormatPr defaultRowHeight="15" x14ac:dyDescent="0.25"/>
  <cols>
    <col min="1" max="1" width="30" customWidth="1"/>
    <col min="2" max="2" width="22.7109375" customWidth="1"/>
    <col min="3" max="3" width="1.85546875" customWidth="1"/>
    <col min="4" max="4" width="15.42578125" customWidth="1"/>
    <col min="5" max="5" width="13.85546875" customWidth="1"/>
    <col min="6" max="6" width="13.85546875" style="165" customWidth="1"/>
    <col min="7" max="7" width="1.85546875" customWidth="1"/>
    <col min="8" max="8" width="15.28515625" customWidth="1"/>
    <col min="32" max="32" width="10.7109375" bestFit="1" customWidth="1"/>
  </cols>
  <sheetData>
    <row r="1" spans="1:32" x14ac:dyDescent="0.25">
      <c r="A1" s="634"/>
      <c r="B1" s="635"/>
      <c r="C1" s="635"/>
      <c r="D1" s="635"/>
      <c r="E1" s="635"/>
      <c r="F1" s="635"/>
      <c r="G1" s="635"/>
      <c r="H1" s="635"/>
      <c r="I1" s="635"/>
      <c r="J1" s="635"/>
      <c r="K1" s="635"/>
      <c r="L1" s="635"/>
      <c r="M1" s="635"/>
      <c r="N1" s="635"/>
      <c r="O1" s="635"/>
      <c r="P1" s="635"/>
      <c r="Q1" s="635"/>
      <c r="R1" s="635"/>
      <c r="S1" s="635"/>
      <c r="T1" s="636"/>
    </row>
    <row r="2" spans="1:32" x14ac:dyDescent="0.25">
      <c r="A2" s="637"/>
      <c r="B2" s="638"/>
      <c r="C2" s="638"/>
      <c r="D2" s="638"/>
      <c r="E2" s="638"/>
      <c r="F2" s="638"/>
      <c r="G2" s="638"/>
      <c r="H2" s="638"/>
      <c r="I2" s="638"/>
      <c r="J2" s="638"/>
      <c r="K2" s="638"/>
      <c r="L2" s="638"/>
      <c r="M2" s="638"/>
      <c r="N2" s="638"/>
      <c r="O2" s="638"/>
      <c r="P2" s="638"/>
      <c r="Q2" s="638"/>
      <c r="R2" s="638"/>
      <c r="S2" s="638"/>
      <c r="T2" s="639"/>
    </row>
    <row r="3" spans="1:32" x14ac:dyDescent="0.25">
      <c r="A3" s="637"/>
      <c r="B3" s="638"/>
      <c r="C3" s="638"/>
      <c r="D3" s="638"/>
      <c r="E3" s="638"/>
      <c r="F3" s="638"/>
      <c r="G3" s="638"/>
      <c r="H3" s="638"/>
      <c r="I3" s="638"/>
      <c r="J3" s="638"/>
      <c r="K3" s="638"/>
      <c r="L3" s="638"/>
      <c r="M3" s="638"/>
      <c r="N3" s="638"/>
      <c r="O3" s="638"/>
      <c r="P3" s="638"/>
      <c r="Q3" s="638"/>
      <c r="R3" s="638"/>
      <c r="S3" s="638"/>
      <c r="T3" s="639"/>
    </row>
    <row r="4" spans="1:32" x14ac:dyDescent="0.25">
      <c r="A4" s="241"/>
      <c r="B4" s="171"/>
      <c r="C4" s="171"/>
      <c r="D4" s="171"/>
      <c r="E4" s="171"/>
      <c r="F4" s="171"/>
      <c r="G4" s="171"/>
      <c r="H4" s="171"/>
      <c r="I4" s="171"/>
      <c r="J4" s="171"/>
      <c r="K4" s="171"/>
      <c r="L4" s="171"/>
      <c r="M4" s="171"/>
      <c r="N4" s="171"/>
      <c r="O4" s="171"/>
      <c r="P4" s="171"/>
      <c r="Q4" s="171"/>
      <c r="R4" s="171"/>
      <c r="S4" s="171"/>
      <c r="T4" s="242"/>
    </row>
    <row r="5" spans="1:32" ht="20.25" x14ac:dyDescent="0.3">
      <c r="A5" s="243"/>
      <c r="B5" s="217"/>
      <c r="C5" s="244"/>
      <c r="D5" s="640" t="s">
        <v>450</v>
      </c>
      <c r="E5" s="641"/>
      <c r="F5" s="641"/>
      <c r="G5" s="641"/>
      <c r="H5" s="641"/>
      <c r="I5" s="171"/>
      <c r="J5" s="171"/>
      <c r="K5" s="171"/>
      <c r="L5" s="171"/>
      <c r="M5" s="171"/>
      <c r="N5" s="171"/>
      <c r="O5" s="171"/>
      <c r="P5" s="171"/>
      <c r="Q5" s="171"/>
      <c r="R5" s="171"/>
      <c r="S5" s="171"/>
      <c r="T5" s="242"/>
    </row>
    <row r="6" spans="1:32" x14ac:dyDescent="0.25">
      <c r="A6" s="241"/>
      <c r="B6" s="217"/>
      <c r="C6" s="171"/>
      <c r="D6" s="225" t="s">
        <v>451</v>
      </c>
      <c r="E6" s="225" t="s">
        <v>452</v>
      </c>
      <c r="F6" s="225" t="s">
        <v>471</v>
      </c>
      <c r="G6" s="171"/>
      <c r="H6" s="225" t="s">
        <v>397</v>
      </c>
      <c r="I6" s="171"/>
      <c r="J6" s="171"/>
      <c r="K6" s="171"/>
      <c r="L6" s="171"/>
      <c r="M6" s="171"/>
      <c r="N6" s="171"/>
      <c r="O6" s="171"/>
      <c r="P6" s="171"/>
      <c r="Q6" s="171"/>
      <c r="R6" s="171"/>
      <c r="S6" s="171"/>
      <c r="T6" s="242"/>
    </row>
    <row r="7" spans="1:32" x14ac:dyDescent="0.25">
      <c r="A7" s="245"/>
      <c r="B7" s="246"/>
      <c r="C7" s="247"/>
      <c r="D7" s="248"/>
      <c r="E7" s="248"/>
      <c r="F7" s="248"/>
      <c r="G7" s="171"/>
      <c r="H7" s="248"/>
      <c r="I7" s="171"/>
      <c r="J7" s="171"/>
      <c r="K7" s="171"/>
      <c r="L7" s="171"/>
      <c r="M7" s="171"/>
      <c r="N7" s="171"/>
      <c r="O7" s="171"/>
      <c r="P7" s="171"/>
      <c r="Q7" s="171"/>
      <c r="R7" s="171"/>
      <c r="S7" s="171"/>
      <c r="T7" s="242"/>
    </row>
    <row r="8" spans="1:32" x14ac:dyDescent="0.25">
      <c r="A8" s="249" t="s">
        <v>425</v>
      </c>
      <c r="B8" s="203"/>
      <c r="C8" s="247"/>
      <c r="D8" s="227"/>
      <c r="E8" s="227"/>
      <c r="F8" s="227"/>
      <c r="G8" s="171"/>
      <c r="H8" s="227"/>
      <c r="I8" s="171"/>
      <c r="J8" s="171"/>
      <c r="K8" s="171"/>
      <c r="L8" s="171"/>
      <c r="M8" s="171"/>
      <c r="N8" s="171"/>
      <c r="O8" s="171"/>
      <c r="P8" s="171"/>
      <c r="Q8" s="171"/>
      <c r="R8" s="171"/>
      <c r="S8" s="171"/>
      <c r="T8" s="242"/>
    </row>
    <row r="9" spans="1:32" x14ac:dyDescent="0.25">
      <c r="A9" s="250" t="s">
        <v>426</v>
      </c>
      <c r="B9" s="203"/>
      <c r="C9" s="247">
        <v>32</v>
      </c>
      <c r="D9" s="228"/>
      <c r="E9" s="228"/>
      <c r="F9" s="228"/>
      <c r="G9" s="171"/>
      <c r="H9" s="228">
        <f>SUM(D9:F9)</f>
        <v>0</v>
      </c>
      <c r="I9" s="171"/>
      <c r="J9" s="171"/>
      <c r="K9" s="171"/>
      <c r="L9" s="171"/>
      <c r="M9" s="171"/>
      <c r="N9" s="171"/>
      <c r="O9" s="171"/>
      <c r="P9" s="171"/>
      <c r="Q9" s="171"/>
      <c r="R9" s="171"/>
      <c r="S9" s="171"/>
      <c r="T9" s="242"/>
    </row>
    <row r="10" spans="1:32" x14ac:dyDescent="0.25">
      <c r="A10" s="250" t="s">
        <v>427</v>
      </c>
      <c r="B10" s="203"/>
      <c r="C10" s="247"/>
      <c r="D10" s="228">
        <f>IFERROR(D9/9,0)</f>
        <v>0</v>
      </c>
      <c r="E10" s="228">
        <f>IFERROR(E9/9,0)</f>
        <v>0</v>
      </c>
      <c r="F10" s="228">
        <f>IFERROR(F9/9,0)</f>
        <v>0</v>
      </c>
      <c r="G10" s="171"/>
      <c r="H10" s="228">
        <f>IFERROR(H9/9,0)</f>
        <v>0</v>
      </c>
      <c r="I10" s="171"/>
      <c r="J10" s="171"/>
      <c r="K10" s="171"/>
      <c r="L10" s="171"/>
      <c r="M10" s="171"/>
      <c r="N10" s="171"/>
      <c r="O10" s="171"/>
      <c r="P10" s="171"/>
      <c r="Q10" s="171"/>
      <c r="R10" s="171"/>
      <c r="S10" s="171"/>
      <c r="T10" s="242"/>
    </row>
    <row r="11" spans="1:32" x14ac:dyDescent="0.25">
      <c r="A11" s="251"/>
      <c r="B11" s="206"/>
      <c r="C11" s="247"/>
      <c r="D11" s="229"/>
      <c r="E11" s="229"/>
      <c r="F11" s="229"/>
      <c r="G11" s="171"/>
      <c r="H11" s="229"/>
      <c r="I11" s="171"/>
      <c r="J11" s="171"/>
      <c r="K11" s="171"/>
      <c r="L11" s="171"/>
      <c r="M11" s="171"/>
      <c r="N11" s="171"/>
      <c r="O11" s="171"/>
      <c r="P11" s="171"/>
      <c r="Q11" s="171"/>
      <c r="R11" s="171"/>
      <c r="S11" s="171"/>
      <c r="T11" s="242"/>
    </row>
    <row r="12" spans="1:32" x14ac:dyDescent="0.25">
      <c r="A12" s="249" t="s">
        <v>428</v>
      </c>
      <c r="B12" s="207"/>
      <c r="C12" s="247">
        <v>13</v>
      </c>
      <c r="D12" s="230"/>
      <c r="E12" s="230"/>
      <c r="F12" s="230"/>
      <c r="G12" s="171"/>
      <c r="H12" s="230">
        <f>SUM(D12:F12)</f>
        <v>0</v>
      </c>
      <c r="I12" s="171"/>
      <c r="J12" s="171"/>
      <c r="K12" s="171"/>
      <c r="L12" s="171"/>
      <c r="M12" s="171"/>
      <c r="N12" s="171"/>
      <c r="O12" s="171"/>
      <c r="P12" s="171"/>
      <c r="Q12" s="171"/>
      <c r="R12" s="171"/>
      <c r="S12" s="171"/>
      <c r="T12" s="242"/>
    </row>
    <row r="13" spans="1:32" x14ac:dyDescent="0.25">
      <c r="A13" s="249"/>
      <c r="B13" s="207"/>
      <c r="C13" s="247"/>
      <c r="D13" s="230"/>
      <c r="E13" s="230"/>
      <c r="F13" s="230"/>
      <c r="G13" s="171"/>
      <c r="H13" s="230"/>
      <c r="I13" s="171"/>
      <c r="J13" s="171"/>
      <c r="K13" s="171"/>
      <c r="L13" s="171"/>
      <c r="M13" s="171"/>
      <c r="N13" s="171"/>
      <c r="O13" s="171"/>
      <c r="P13" s="171"/>
      <c r="Q13" s="171"/>
      <c r="R13" s="171"/>
      <c r="S13" s="171"/>
      <c r="T13" s="242"/>
    </row>
    <row r="14" spans="1:32" s="165" customFormat="1" ht="15.75" x14ac:dyDescent="0.25">
      <c r="A14" s="252" t="s">
        <v>472</v>
      </c>
      <c r="B14" s="253"/>
      <c r="C14" s="247"/>
      <c r="D14" s="228"/>
      <c r="E14" s="228"/>
      <c r="F14" s="228"/>
      <c r="G14" s="171"/>
      <c r="H14" s="228">
        <f t="shared" ref="H14:H20" si="0">SUM(D14:F14)</f>
        <v>0</v>
      </c>
      <c r="I14" s="171"/>
      <c r="J14" s="171"/>
      <c r="K14" s="171"/>
      <c r="L14" s="171"/>
      <c r="M14" s="171"/>
      <c r="N14" s="171"/>
      <c r="O14" s="171"/>
      <c r="P14" s="171"/>
      <c r="Q14" s="171"/>
      <c r="R14" s="171"/>
      <c r="S14" s="171"/>
      <c r="T14" s="242"/>
      <c r="AE14" s="300" t="s">
        <v>472</v>
      </c>
      <c r="AF14" s="304">
        <f t="shared" ref="AF14:AF20" si="1">H14</f>
        <v>0</v>
      </c>
    </row>
    <row r="15" spans="1:32" ht="15.75" x14ac:dyDescent="0.25">
      <c r="A15" s="252" t="s">
        <v>466</v>
      </c>
      <c r="B15" s="253"/>
      <c r="C15" s="247"/>
      <c r="D15" s="228"/>
      <c r="E15" s="228"/>
      <c r="F15" s="228"/>
      <c r="G15" s="171"/>
      <c r="H15" s="228">
        <f t="shared" si="0"/>
        <v>0</v>
      </c>
      <c r="I15" s="171"/>
      <c r="J15" s="171"/>
      <c r="K15" s="171"/>
      <c r="L15" s="171"/>
      <c r="M15" s="171"/>
      <c r="N15" s="171"/>
      <c r="O15" s="171"/>
      <c r="P15" s="171"/>
      <c r="Q15" s="171"/>
      <c r="R15" s="171"/>
      <c r="S15" s="171"/>
      <c r="T15" s="242"/>
      <c r="AE15" s="300" t="s">
        <v>466</v>
      </c>
      <c r="AF15" s="304">
        <f t="shared" si="1"/>
        <v>0</v>
      </c>
    </row>
    <row r="16" spans="1:32" ht="15.75" x14ac:dyDescent="0.25">
      <c r="A16" s="252" t="s">
        <v>467</v>
      </c>
      <c r="B16" s="253"/>
      <c r="C16" s="247"/>
      <c r="D16" s="228"/>
      <c r="E16" s="228"/>
      <c r="F16" s="228"/>
      <c r="G16" s="171"/>
      <c r="H16" s="228">
        <f t="shared" si="0"/>
        <v>0</v>
      </c>
      <c r="I16" s="171"/>
      <c r="J16" s="171"/>
      <c r="K16" s="171"/>
      <c r="L16" s="171"/>
      <c r="M16" s="171"/>
      <c r="N16" s="171"/>
      <c r="O16" s="171"/>
      <c r="P16" s="171"/>
      <c r="Q16" s="171"/>
      <c r="R16" s="171"/>
      <c r="S16" s="171"/>
      <c r="T16" s="242"/>
      <c r="AE16" s="300" t="s">
        <v>467</v>
      </c>
      <c r="AF16" s="304">
        <f t="shared" si="1"/>
        <v>0</v>
      </c>
    </row>
    <row r="17" spans="1:32" ht="15.75" x14ac:dyDescent="0.25">
      <c r="A17" s="252" t="s">
        <v>455</v>
      </c>
      <c r="B17" s="207"/>
      <c r="C17" s="247">
        <v>33</v>
      </c>
      <c r="D17" s="228"/>
      <c r="E17" s="228"/>
      <c r="F17" s="228"/>
      <c r="G17" s="171"/>
      <c r="H17" s="228">
        <f t="shared" si="0"/>
        <v>0</v>
      </c>
      <c r="I17" s="171"/>
      <c r="J17" s="171"/>
      <c r="K17" s="171"/>
      <c r="L17" s="171"/>
      <c r="M17" s="171"/>
      <c r="N17" s="171"/>
      <c r="O17" s="171"/>
      <c r="P17" s="171"/>
      <c r="Q17" s="171"/>
      <c r="R17" s="171"/>
      <c r="S17" s="171"/>
      <c r="T17" s="242"/>
      <c r="AE17" s="300" t="s">
        <v>455</v>
      </c>
      <c r="AF17" s="304">
        <f t="shared" si="1"/>
        <v>0</v>
      </c>
    </row>
    <row r="18" spans="1:32" ht="15.75" x14ac:dyDescent="0.25">
      <c r="A18" s="252" t="s">
        <v>468</v>
      </c>
      <c r="B18" s="207"/>
      <c r="C18" s="247">
        <v>33</v>
      </c>
      <c r="D18" s="228"/>
      <c r="E18" s="228"/>
      <c r="F18" s="228"/>
      <c r="G18" s="171"/>
      <c r="H18" s="228">
        <f t="shared" si="0"/>
        <v>0</v>
      </c>
      <c r="I18" s="171"/>
      <c r="J18" s="171"/>
      <c r="K18" s="171"/>
      <c r="L18" s="171"/>
      <c r="M18" s="171"/>
      <c r="N18" s="171"/>
      <c r="O18" s="171"/>
      <c r="P18" s="171"/>
      <c r="Q18" s="171"/>
      <c r="R18" s="171"/>
      <c r="S18" s="171"/>
      <c r="T18" s="242"/>
      <c r="AE18" s="300" t="s">
        <v>468</v>
      </c>
      <c r="AF18" s="304">
        <f t="shared" si="1"/>
        <v>0</v>
      </c>
    </row>
    <row r="19" spans="1:32" x14ac:dyDescent="0.25">
      <c r="A19" s="252" t="s">
        <v>98</v>
      </c>
      <c r="B19" s="207"/>
      <c r="C19" s="247">
        <v>33</v>
      </c>
      <c r="D19" s="228"/>
      <c r="E19" s="228"/>
      <c r="F19" s="228"/>
      <c r="G19" s="171"/>
      <c r="H19" s="228">
        <f t="shared" si="0"/>
        <v>0</v>
      </c>
      <c r="I19" s="171"/>
      <c r="J19" s="171"/>
      <c r="K19" s="171"/>
      <c r="L19" s="171"/>
      <c r="M19" s="171"/>
      <c r="N19" s="171"/>
      <c r="O19" s="171"/>
      <c r="P19" s="171"/>
      <c r="Q19" s="171"/>
      <c r="R19" s="171"/>
      <c r="S19" s="171"/>
      <c r="T19" s="242"/>
      <c r="AE19" s="303" t="s">
        <v>98</v>
      </c>
      <c r="AF19" s="304">
        <f t="shared" si="1"/>
        <v>0</v>
      </c>
    </row>
    <row r="20" spans="1:32" x14ac:dyDescent="0.25">
      <c r="A20" s="252" t="s">
        <v>429</v>
      </c>
      <c r="B20" s="207"/>
      <c r="C20" s="247">
        <v>35</v>
      </c>
      <c r="D20" s="228"/>
      <c r="E20" s="228"/>
      <c r="F20" s="228"/>
      <c r="G20" s="171"/>
      <c r="H20" s="228">
        <f t="shared" si="0"/>
        <v>0</v>
      </c>
      <c r="I20" s="171"/>
      <c r="J20" s="171"/>
      <c r="K20" s="171"/>
      <c r="L20" s="171"/>
      <c r="M20" s="171"/>
      <c r="N20" s="171"/>
      <c r="O20" s="171"/>
      <c r="P20" s="171"/>
      <c r="Q20" s="171"/>
      <c r="R20" s="171"/>
      <c r="S20" s="171"/>
      <c r="T20" s="242"/>
      <c r="AE20" s="303" t="s">
        <v>429</v>
      </c>
      <c r="AF20" s="304">
        <f t="shared" si="1"/>
        <v>0</v>
      </c>
    </row>
    <row r="21" spans="1:32" x14ac:dyDescent="0.25">
      <c r="A21" s="249" t="s">
        <v>430</v>
      </c>
      <c r="B21" s="207"/>
      <c r="C21" s="247"/>
      <c r="D21" s="230">
        <f>SUM(D14:D20)</f>
        <v>0</v>
      </c>
      <c r="E21" s="230">
        <f>SUM(E14:E20)</f>
        <v>0</v>
      </c>
      <c r="F21" s="230">
        <f>SUM(F14:F20)</f>
        <v>0</v>
      </c>
      <c r="G21" s="171"/>
      <c r="H21" s="230">
        <f>SUM(H14:H20)</f>
        <v>0</v>
      </c>
      <c r="I21" s="171"/>
      <c r="J21" s="171"/>
      <c r="K21" s="171"/>
      <c r="L21" s="171"/>
      <c r="M21" s="171"/>
      <c r="N21" s="171"/>
      <c r="O21" s="171"/>
      <c r="P21" s="171"/>
      <c r="Q21" s="171"/>
      <c r="R21" s="171"/>
      <c r="S21" s="171"/>
      <c r="T21" s="242"/>
    </row>
    <row r="22" spans="1:32" x14ac:dyDescent="0.25">
      <c r="A22" s="254"/>
      <c r="B22" s="210"/>
      <c r="C22" s="247"/>
      <c r="D22" s="229"/>
      <c r="E22" s="229"/>
      <c r="F22" s="229"/>
      <c r="G22" s="171"/>
      <c r="H22" s="229"/>
      <c r="I22" s="171"/>
      <c r="J22" s="171"/>
      <c r="K22" s="171"/>
      <c r="L22" s="171"/>
      <c r="M22" s="171"/>
      <c r="N22" s="171"/>
      <c r="O22" s="171"/>
      <c r="P22" s="171"/>
      <c r="Q22" s="171"/>
      <c r="R22" s="171"/>
      <c r="S22" s="171"/>
      <c r="T22" s="242"/>
    </row>
    <row r="23" spans="1:32" x14ac:dyDescent="0.25">
      <c r="A23" s="255" t="s">
        <v>431</v>
      </c>
      <c r="B23" s="212"/>
      <c r="C23" s="247"/>
      <c r="D23" s="231">
        <f>D12+D21</f>
        <v>0</v>
      </c>
      <c r="E23" s="231">
        <f>E12+E21</f>
        <v>0</v>
      </c>
      <c r="F23" s="231">
        <f>F12+F21</f>
        <v>0</v>
      </c>
      <c r="G23" s="171"/>
      <c r="H23" s="231">
        <f>H12+H21</f>
        <v>0</v>
      </c>
      <c r="I23" s="171"/>
      <c r="J23" s="171"/>
      <c r="K23" s="171"/>
      <c r="L23" s="171"/>
      <c r="M23" s="171"/>
      <c r="N23" s="171"/>
      <c r="O23" s="171"/>
      <c r="P23" s="171"/>
      <c r="Q23" s="171"/>
      <c r="R23" s="171"/>
      <c r="S23" s="171"/>
      <c r="T23" s="242"/>
      <c r="AE23" s="301"/>
      <c r="AF23" s="302"/>
    </row>
    <row r="24" spans="1:32" x14ac:dyDescent="0.25">
      <c r="A24" s="251"/>
      <c r="B24" s="206"/>
      <c r="C24" s="247"/>
      <c r="D24" s="229"/>
      <c r="E24" s="229"/>
      <c r="F24" s="229"/>
      <c r="G24" s="171"/>
      <c r="H24" s="229"/>
      <c r="I24" s="171"/>
      <c r="J24" s="171"/>
      <c r="K24" s="171"/>
      <c r="L24" s="171"/>
      <c r="M24" s="171"/>
      <c r="N24" s="171"/>
      <c r="O24" s="171"/>
      <c r="P24" s="171"/>
      <c r="Q24" s="171"/>
      <c r="R24" s="171"/>
      <c r="S24" s="171"/>
      <c r="T24" s="242"/>
      <c r="AE24" s="302"/>
      <c r="AF24" s="302"/>
    </row>
    <row r="25" spans="1:32" x14ac:dyDescent="0.25">
      <c r="A25" s="249" t="s">
        <v>432</v>
      </c>
      <c r="B25" s="207"/>
      <c r="C25" s="256">
        <v>17</v>
      </c>
      <c r="D25" s="228"/>
      <c r="E25" s="228"/>
      <c r="F25" s="228"/>
      <c r="G25" s="171"/>
      <c r="H25" s="228">
        <f>SUM(D25:F25)</f>
        <v>0</v>
      </c>
      <c r="I25" s="171"/>
      <c r="J25" s="171"/>
      <c r="K25" s="171"/>
      <c r="L25" s="171"/>
      <c r="M25" s="171"/>
      <c r="N25" s="171"/>
      <c r="O25" s="171"/>
      <c r="P25" s="171"/>
      <c r="Q25" s="171"/>
      <c r="R25" s="171"/>
      <c r="S25" s="171"/>
      <c r="T25" s="242"/>
      <c r="AE25" s="302"/>
      <c r="AF25" s="302"/>
    </row>
    <row r="26" spans="1:32" x14ac:dyDescent="0.25">
      <c r="A26" s="257"/>
      <c r="B26" s="203"/>
      <c r="C26" s="247"/>
      <c r="D26" s="230"/>
      <c r="E26" s="230"/>
      <c r="F26" s="230"/>
      <c r="G26" s="171"/>
      <c r="H26" s="230"/>
      <c r="I26" s="171"/>
      <c r="J26" s="171"/>
      <c r="K26" s="171"/>
      <c r="L26" s="171"/>
      <c r="M26" s="171"/>
      <c r="N26" s="171"/>
      <c r="O26" s="171"/>
      <c r="P26" s="171"/>
      <c r="Q26" s="171"/>
      <c r="R26" s="171"/>
      <c r="S26" s="171"/>
      <c r="T26" s="242"/>
      <c r="AE26" s="301"/>
      <c r="AF26" s="302"/>
    </row>
    <row r="27" spans="1:32" x14ac:dyDescent="0.25">
      <c r="A27" s="255" t="s">
        <v>433</v>
      </c>
      <c r="B27" s="212"/>
      <c r="C27" s="247"/>
      <c r="D27" s="231">
        <f>D23+D25</f>
        <v>0</v>
      </c>
      <c r="E27" s="231">
        <f>E23+E25</f>
        <v>0</v>
      </c>
      <c r="F27" s="231">
        <f>F23+F25</f>
        <v>0</v>
      </c>
      <c r="G27" s="171"/>
      <c r="H27" s="231">
        <f>H23+H25</f>
        <v>0</v>
      </c>
      <c r="I27" s="171"/>
      <c r="J27" s="171"/>
      <c r="K27" s="171"/>
      <c r="L27" s="171"/>
      <c r="M27" s="171"/>
      <c r="N27" s="171"/>
      <c r="O27" s="171"/>
      <c r="P27" s="171"/>
      <c r="Q27" s="171"/>
      <c r="R27" s="171"/>
      <c r="S27" s="171"/>
      <c r="T27" s="242"/>
      <c r="AE27" s="301"/>
      <c r="AF27" s="302"/>
    </row>
    <row r="28" spans="1:32" x14ac:dyDescent="0.25">
      <c r="A28" s="241"/>
      <c r="B28" s="206"/>
      <c r="C28" s="247"/>
      <c r="D28" s="229"/>
      <c r="E28" s="229"/>
      <c r="F28" s="229"/>
      <c r="G28" s="171"/>
      <c r="H28" s="229"/>
      <c r="I28" s="171"/>
      <c r="J28" s="171"/>
      <c r="K28" s="171"/>
      <c r="L28" s="171"/>
      <c r="M28" s="171"/>
      <c r="N28" s="171"/>
      <c r="O28" s="171"/>
      <c r="P28" s="171"/>
      <c r="Q28" s="171"/>
      <c r="R28" s="171"/>
      <c r="S28" s="171"/>
      <c r="T28" s="242"/>
      <c r="AE28" s="299"/>
      <c r="AF28" s="302"/>
    </row>
    <row r="29" spans="1:32" x14ac:dyDescent="0.25">
      <c r="A29" s="255" t="s">
        <v>434</v>
      </c>
      <c r="B29" s="212"/>
      <c r="C29" s="247"/>
      <c r="D29" s="231"/>
      <c r="E29" s="231"/>
      <c r="F29" s="231"/>
      <c r="G29" s="171"/>
      <c r="H29" s="231">
        <f>D29+E29+F29</f>
        <v>0</v>
      </c>
      <c r="I29" s="171"/>
      <c r="J29" s="171"/>
      <c r="K29" s="171"/>
      <c r="L29" s="171"/>
      <c r="M29" s="171"/>
      <c r="N29" s="171"/>
      <c r="O29" s="171"/>
      <c r="P29" s="171"/>
      <c r="Q29" s="171"/>
      <c r="R29" s="171"/>
      <c r="S29" s="171"/>
      <c r="T29" s="242"/>
    </row>
    <row r="30" spans="1:32" x14ac:dyDescent="0.25">
      <c r="A30" s="241"/>
      <c r="B30" s="206"/>
      <c r="C30" s="247"/>
      <c r="D30" s="229"/>
      <c r="E30" s="229"/>
      <c r="F30" s="229"/>
      <c r="G30" s="171"/>
      <c r="H30" s="229"/>
      <c r="I30" s="171"/>
      <c r="J30" s="171"/>
      <c r="K30" s="171"/>
      <c r="L30" s="171"/>
      <c r="M30" s="171"/>
      <c r="N30" s="171"/>
      <c r="O30" s="171"/>
      <c r="P30" s="171"/>
      <c r="Q30" s="171"/>
      <c r="R30" s="171"/>
      <c r="S30" s="171"/>
      <c r="T30" s="242"/>
    </row>
    <row r="31" spans="1:32" ht="15.75" thickBot="1" x14ac:dyDescent="0.3">
      <c r="A31" s="258" t="s">
        <v>435</v>
      </c>
      <c r="B31" s="216"/>
      <c r="C31" s="247"/>
      <c r="D31" s="232">
        <f>D27-D29</f>
        <v>0</v>
      </c>
      <c r="E31" s="232">
        <f>E27-E29</f>
        <v>0</v>
      </c>
      <c r="F31" s="232">
        <f>F27-F29</f>
        <v>0</v>
      </c>
      <c r="G31" s="171"/>
      <c r="H31" s="232">
        <f>H29-H27</f>
        <v>0</v>
      </c>
      <c r="I31" s="171"/>
      <c r="J31" s="171"/>
      <c r="K31" s="171"/>
      <c r="L31" s="171"/>
      <c r="M31" s="171"/>
      <c r="N31" s="171"/>
      <c r="O31" s="171"/>
      <c r="P31" s="171"/>
      <c r="Q31" s="171"/>
      <c r="R31" s="171"/>
      <c r="S31" s="171"/>
      <c r="T31" s="242"/>
    </row>
    <row r="32" spans="1:32" ht="15.75" thickTop="1" x14ac:dyDescent="0.25">
      <c r="A32" s="241"/>
      <c r="B32" s="218"/>
      <c r="C32" s="247"/>
      <c r="D32" s="233"/>
      <c r="E32" s="171"/>
      <c r="F32" s="171"/>
      <c r="G32" s="171"/>
      <c r="H32" s="171"/>
      <c r="I32" s="171"/>
      <c r="J32" s="171"/>
      <c r="K32" s="171"/>
      <c r="L32" s="171"/>
      <c r="M32" s="171"/>
      <c r="N32" s="171"/>
      <c r="O32" s="171"/>
      <c r="P32" s="171"/>
      <c r="Q32" s="171"/>
      <c r="R32" s="171"/>
      <c r="S32" s="171"/>
      <c r="T32" s="242"/>
    </row>
    <row r="33" spans="1:20" x14ac:dyDescent="0.25">
      <c r="A33" s="259" t="s">
        <v>436</v>
      </c>
      <c r="B33" s="260"/>
      <c r="C33" s="247"/>
      <c r="D33" s="261"/>
      <c r="E33" s="262"/>
      <c r="F33" s="262"/>
      <c r="G33" s="171"/>
      <c r="H33" s="262"/>
      <c r="I33" s="171"/>
      <c r="J33" s="171"/>
      <c r="K33" s="171"/>
      <c r="L33" s="171"/>
      <c r="M33" s="171"/>
      <c r="N33" s="171"/>
      <c r="O33" s="171"/>
      <c r="P33" s="171"/>
      <c r="Q33" s="171"/>
      <c r="R33" s="171"/>
      <c r="S33" s="171"/>
      <c r="T33" s="242"/>
    </row>
    <row r="34" spans="1:20" x14ac:dyDescent="0.25">
      <c r="A34" s="250" t="s">
        <v>437</v>
      </c>
      <c r="B34" s="203"/>
      <c r="C34" s="247"/>
      <c r="D34" s="263">
        <f>IFERROR(D12/D9,0)</f>
        <v>0</v>
      </c>
      <c r="E34" s="264">
        <f>IFERROR(E12/E9,0)</f>
        <v>0</v>
      </c>
      <c r="F34" s="264">
        <f>IFERROR(F12/F9,0)</f>
        <v>0</v>
      </c>
      <c r="G34" s="171"/>
      <c r="H34" s="264">
        <f>IFERROR(H12/H9,0)</f>
        <v>0</v>
      </c>
      <c r="I34" s="171"/>
      <c r="J34" s="171"/>
      <c r="K34" s="171"/>
      <c r="L34" s="171"/>
      <c r="M34" s="171"/>
      <c r="N34" s="171"/>
      <c r="O34" s="171"/>
      <c r="P34" s="171"/>
      <c r="Q34" s="171"/>
      <c r="R34" s="171"/>
      <c r="S34" s="171"/>
      <c r="T34" s="242"/>
    </row>
    <row r="35" spans="1:20" x14ac:dyDescent="0.25">
      <c r="A35" s="250" t="s">
        <v>438</v>
      </c>
      <c r="B35" s="203"/>
      <c r="C35" s="247"/>
      <c r="D35" s="265">
        <f>IFERROR(-D21/D12,0)</f>
        <v>0</v>
      </c>
      <c r="E35" s="266">
        <f>IFERROR(-E21/E12,0)</f>
        <v>0</v>
      </c>
      <c r="F35" s="266">
        <f>IFERROR(-F21/F12,0)</f>
        <v>0</v>
      </c>
      <c r="G35" s="171"/>
      <c r="H35" s="266">
        <f>IFERROR(-H21/H12,0)</f>
        <v>0</v>
      </c>
      <c r="I35" s="171"/>
      <c r="J35" s="171"/>
      <c r="K35" s="171"/>
      <c r="L35" s="171"/>
      <c r="M35" s="171"/>
      <c r="N35" s="171"/>
      <c r="O35" s="171"/>
      <c r="P35" s="171"/>
      <c r="Q35" s="171"/>
      <c r="R35" s="171"/>
      <c r="S35" s="171"/>
      <c r="T35" s="242"/>
    </row>
    <row r="36" spans="1:20" x14ac:dyDescent="0.25">
      <c r="A36" s="250" t="s">
        <v>439</v>
      </c>
      <c r="B36" s="203"/>
      <c r="C36" s="247"/>
      <c r="D36" s="263">
        <f>IFERROR(D23/D9,0)</f>
        <v>0</v>
      </c>
      <c r="E36" s="264">
        <f>IFERROR(E23/E9,0)</f>
        <v>0</v>
      </c>
      <c r="F36" s="264">
        <f>IFERROR(F23/F9,0)</f>
        <v>0</v>
      </c>
      <c r="G36" s="171"/>
      <c r="H36" s="264">
        <f>IFERROR(H23/H9,0)</f>
        <v>0</v>
      </c>
      <c r="I36" s="171"/>
      <c r="J36" s="171"/>
      <c r="K36" s="171"/>
      <c r="L36" s="171"/>
      <c r="M36" s="171"/>
      <c r="N36" s="171"/>
      <c r="O36" s="171"/>
      <c r="P36" s="171"/>
      <c r="Q36" s="171"/>
      <c r="R36" s="171"/>
      <c r="S36" s="171"/>
      <c r="T36" s="242"/>
    </row>
    <row r="37" spans="1:20" x14ac:dyDescent="0.25">
      <c r="A37" s="250" t="s">
        <v>440</v>
      </c>
      <c r="B37" s="203"/>
      <c r="C37" s="247"/>
      <c r="D37" s="263">
        <f>IFERROR(-D25/D9,0)</f>
        <v>0</v>
      </c>
      <c r="E37" s="264">
        <f>IFERROR(-E25/E9,0)</f>
        <v>0</v>
      </c>
      <c r="F37" s="264">
        <f>IFERROR(-F25/F9,0)</f>
        <v>0</v>
      </c>
      <c r="G37" s="171"/>
      <c r="H37" s="264">
        <f>IFERROR(-H25/H9,0)</f>
        <v>0</v>
      </c>
      <c r="I37" s="171"/>
      <c r="J37" s="171"/>
      <c r="K37" s="171"/>
      <c r="L37" s="171"/>
      <c r="M37" s="171"/>
      <c r="N37" s="171"/>
      <c r="O37" s="171"/>
      <c r="P37" s="171"/>
      <c r="Q37" s="171"/>
      <c r="R37" s="171"/>
      <c r="S37" s="171"/>
      <c r="T37" s="242"/>
    </row>
    <row r="38" spans="1:20" x14ac:dyDescent="0.25">
      <c r="A38" s="250" t="s">
        <v>441</v>
      </c>
      <c r="B38" s="203"/>
      <c r="C38" s="247"/>
      <c r="D38" s="263">
        <f>IFERROR(D27/D9,0)</f>
        <v>0</v>
      </c>
      <c r="E38" s="264">
        <f>IFERROR(E27/E9,0)</f>
        <v>0</v>
      </c>
      <c r="F38" s="264">
        <f>IFERROR(F27/F9,0)</f>
        <v>0</v>
      </c>
      <c r="G38" s="171"/>
      <c r="H38" s="264">
        <f>IFERROR(H27/H9,0)</f>
        <v>0</v>
      </c>
      <c r="I38" s="171"/>
      <c r="J38" s="171"/>
      <c r="K38" s="171"/>
      <c r="L38" s="171"/>
      <c r="M38" s="171"/>
      <c r="N38" s="171"/>
      <c r="O38" s="171"/>
      <c r="P38" s="171"/>
      <c r="Q38" s="171"/>
      <c r="R38" s="171"/>
      <c r="S38" s="171"/>
      <c r="T38" s="242"/>
    </row>
    <row r="39" spans="1:20" x14ac:dyDescent="0.25">
      <c r="A39" s="250" t="s">
        <v>442</v>
      </c>
      <c r="B39" s="203"/>
      <c r="C39" s="247"/>
      <c r="D39" s="265">
        <f>IFERROR(D27/D23,0)</f>
        <v>0</v>
      </c>
      <c r="E39" s="266">
        <f>IFERROR(E27/E23,0)</f>
        <v>0</v>
      </c>
      <c r="F39" s="266">
        <f>IFERROR(F27/F23,0)</f>
        <v>0</v>
      </c>
      <c r="G39" s="171"/>
      <c r="H39" s="266">
        <f>IFERROR(H27/H23,0)</f>
        <v>0</v>
      </c>
      <c r="I39" s="171"/>
      <c r="J39" s="171"/>
      <c r="K39" s="171"/>
      <c r="L39" s="171"/>
      <c r="M39" s="171"/>
      <c r="N39" s="171"/>
      <c r="O39" s="171"/>
      <c r="P39" s="171"/>
      <c r="Q39" s="171"/>
      <c r="R39" s="171"/>
      <c r="S39" s="171"/>
      <c r="T39" s="242"/>
    </row>
    <row r="40" spans="1:20" x14ac:dyDescent="0.25">
      <c r="A40" s="250" t="s">
        <v>443</v>
      </c>
      <c r="B40" s="203"/>
      <c r="C40" s="247"/>
      <c r="D40" s="265">
        <f>IFERROR(-D29/D23,0)</f>
        <v>0</v>
      </c>
      <c r="E40" s="266">
        <f>IFERROR(-E29/E23,0)</f>
        <v>0</v>
      </c>
      <c r="F40" s="266">
        <f>IFERROR(-F29/F23,0)</f>
        <v>0</v>
      </c>
      <c r="G40" s="171"/>
      <c r="H40" s="266">
        <f>IFERROR(-H29/H23,0)</f>
        <v>0</v>
      </c>
      <c r="I40" s="171"/>
      <c r="J40" s="171"/>
      <c r="K40" s="171"/>
      <c r="L40" s="171"/>
      <c r="M40" s="171"/>
      <c r="N40" s="171"/>
      <c r="O40" s="171"/>
      <c r="P40" s="171"/>
      <c r="Q40" s="171"/>
      <c r="R40" s="171"/>
      <c r="S40" s="171"/>
      <c r="T40" s="242"/>
    </row>
    <row r="41" spans="1:20" x14ac:dyDescent="0.25">
      <c r="A41" s="250" t="s">
        <v>444</v>
      </c>
      <c r="B41" s="203"/>
      <c r="C41" s="247"/>
      <c r="D41" s="267">
        <f>IFERROR(D31/D9,0)</f>
        <v>0</v>
      </c>
      <c r="E41" s="268">
        <f>IFERROR(E31/E9,0)</f>
        <v>0</v>
      </c>
      <c r="F41" s="268">
        <f>IFERROR(F31/F9,0)</f>
        <v>0</v>
      </c>
      <c r="G41" s="171"/>
      <c r="H41" s="282">
        <f>IFERROR(H31/H9,0)</f>
        <v>0</v>
      </c>
      <c r="I41" s="171"/>
      <c r="J41" s="171"/>
      <c r="K41" s="171"/>
      <c r="L41" s="171"/>
      <c r="M41" s="171"/>
      <c r="N41" s="171"/>
      <c r="O41" s="171"/>
      <c r="P41" s="171"/>
      <c r="Q41" s="171"/>
      <c r="R41" s="171"/>
      <c r="S41" s="171"/>
      <c r="T41" s="242"/>
    </row>
    <row r="42" spans="1:20" x14ac:dyDescent="0.25">
      <c r="A42" s="254"/>
      <c r="B42" s="210"/>
      <c r="C42" s="171"/>
      <c r="D42" s="269"/>
      <c r="E42" s="270"/>
      <c r="F42" s="270"/>
      <c r="G42" s="171"/>
      <c r="H42" s="270"/>
      <c r="I42" s="171"/>
      <c r="J42" s="171"/>
      <c r="K42" s="171"/>
      <c r="L42" s="171"/>
      <c r="M42" s="171"/>
      <c r="N42" s="171"/>
      <c r="O42" s="171"/>
      <c r="P42" s="171"/>
      <c r="Q42" s="171"/>
      <c r="R42" s="171"/>
      <c r="S42" s="171"/>
      <c r="T42" s="242"/>
    </row>
    <row r="43" spans="1:20" x14ac:dyDescent="0.25">
      <c r="A43" s="252"/>
      <c r="B43" s="171"/>
      <c r="C43" s="171"/>
      <c r="D43" s="271"/>
      <c r="E43" s="271"/>
      <c r="F43" s="271"/>
      <c r="G43" s="171"/>
      <c r="H43" s="271"/>
      <c r="I43" s="171"/>
      <c r="J43" s="171"/>
      <c r="K43" s="171"/>
      <c r="L43" s="171"/>
      <c r="M43" s="171"/>
      <c r="N43" s="171"/>
      <c r="O43" s="171"/>
      <c r="P43" s="171"/>
      <c r="Q43" s="171"/>
      <c r="R43" s="171"/>
      <c r="S43" s="171"/>
      <c r="T43" s="242"/>
    </row>
    <row r="44" spans="1:20" x14ac:dyDescent="0.25">
      <c r="A44" s="252"/>
      <c r="B44" s="171"/>
      <c r="C44" s="171"/>
      <c r="D44" s="171"/>
      <c r="E44" s="171"/>
      <c r="F44" s="171"/>
      <c r="G44" s="171"/>
      <c r="H44" s="171"/>
      <c r="I44" s="171"/>
      <c r="J44" s="171"/>
      <c r="K44" s="171"/>
      <c r="L44" s="171"/>
      <c r="M44" s="171"/>
      <c r="N44" s="171"/>
      <c r="O44" s="171"/>
      <c r="P44" s="171"/>
      <c r="Q44" s="171"/>
      <c r="R44" s="171"/>
      <c r="S44" s="171"/>
      <c r="T44" s="242"/>
    </row>
    <row r="45" spans="1:20" ht="15.75" x14ac:dyDescent="0.25">
      <c r="A45" s="272" t="s">
        <v>453</v>
      </c>
      <c r="B45" s="273"/>
      <c r="C45" s="273"/>
      <c r="D45" s="273"/>
      <c r="E45" s="273"/>
      <c r="F45" s="273"/>
      <c r="G45" s="273"/>
      <c r="H45" s="273"/>
      <c r="I45" s="274"/>
      <c r="J45" s="275" t="s">
        <v>454</v>
      </c>
      <c r="K45" s="273"/>
      <c r="L45" s="273"/>
      <c r="M45" s="273"/>
      <c r="N45" s="273"/>
      <c r="O45" s="273"/>
      <c r="P45" s="273"/>
      <c r="Q45" s="273"/>
      <c r="R45" s="273"/>
      <c r="S45" s="274"/>
      <c r="T45" s="242"/>
    </row>
    <row r="46" spans="1:20" ht="15.75" x14ac:dyDescent="0.25">
      <c r="A46" s="276"/>
      <c r="B46" s="277"/>
      <c r="C46" s="277"/>
      <c r="D46" s="277"/>
      <c r="E46" s="277"/>
      <c r="F46" s="277"/>
      <c r="G46" s="277"/>
      <c r="H46" s="277"/>
      <c r="I46" s="278"/>
      <c r="J46" s="642"/>
      <c r="K46" s="643"/>
      <c r="L46" s="643"/>
      <c r="M46" s="643"/>
      <c r="N46" s="643"/>
      <c r="O46" s="643"/>
      <c r="P46" s="643"/>
      <c r="Q46" s="643"/>
      <c r="R46" s="643"/>
      <c r="S46" s="644"/>
      <c r="T46" s="242"/>
    </row>
    <row r="47" spans="1:20" ht="15.75" x14ac:dyDescent="0.25">
      <c r="A47" s="277"/>
      <c r="B47" s="277"/>
      <c r="C47" s="277"/>
      <c r="D47" s="277"/>
      <c r="E47" s="277"/>
      <c r="F47" s="277"/>
      <c r="G47" s="277"/>
      <c r="H47" s="277"/>
      <c r="I47" s="278"/>
      <c r="J47" s="642"/>
      <c r="K47" s="643"/>
      <c r="L47" s="643"/>
      <c r="M47" s="643"/>
      <c r="N47" s="643"/>
      <c r="O47" s="643"/>
      <c r="P47" s="643"/>
      <c r="Q47" s="643"/>
      <c r="R47" s="643"/>
      <c r="S47" s="644"/>
      <c r="T47" s="242"/>
    </row>
    <row r="48" spans="1:20" ht="15.75" x14ac:dyDescent="0.25">
      <c r="A48" s="277"/>
      <c r="B48" s="277"/>
      <c r="C48" s="277"/>
      <c r="D48" s="277"/>
      <c r="E48" s="277"/>
      <c r="F48" s="277"/>
      <c r="G48" s="277"/>
      <c r="H48" s="277"/>
      <c r="I48" s="278"/>
      <c r="J48" s="642"/>
      <c r="K48" s="643"/>
      <c r="L48" s="643"/>
      <c r="M48" s="643"/>
      <c r="N48" s="643"/>
      <c r="O48" s="643"/>
      <c r="P48" s="643"/>
      <c r="Q48" s="643"/>
      <c r="R48" s="643"/>
      <c r="S48" s="644"/>
      <c r="T48" s="242"/>
    </row>
    <row r="49" spans="1:20" ht="15.75" x14ac:dyDescent="0.25">
      <c r="A49" s="277"/>
      <c r="B49" s="277"/>
      <c r="C49" s="277"/>
      <c r="D49" s="277"/>
      <c r="E49" s="277"/>
      <c r="F49" s="277"/>
      <c r="G49" s="277"/>
      <c r="H49" s="277"/>
      <c r="I49" s="278"/>
      <c r="J49" s="642"/>
      <c r="K49" s="643"/>
      <c r="L49" s="643"/>
      <c r="M49" s="643"/>
      <c r="N49" s="643"/>
      <c r="O49" s="643"/>
      <c r="P49" s="643"/>
      <c r="Q49" s="643"/>
      <c r="R49" s="643"/>
      <c r="S49" s="644"/>
      <c r="T49" s="242"/>
    </row>
    <row r="50" spans="1:20" ht="16.5" thickBot="1" x14ac:dyDescent="0.3">
      <c r="A50" s="279"/>
      <c r="B50" s="279"/>
      <c r="C50" s="279"/>
      <c r="D50" s="279"/>
      <c r="E50" s="279"/>
      <c r="F50" s="279"/>
      <c r="G50" s="279"/>
      <c r="H50" s="279"/>
      <c r="I50" s="280"/>
      <c r="J50" s="631"/>
      <c r="K50" s="632"/>
      <c r="L50" s="632"/>
      <c r="M50" s="632"/>
      <c r="N50" s="632"/>
      <c r="O50" s="632"/>
      <c r="P50" s="632"/>
      <c r="Q50" s="632"/>
      <c r="R50" s="632"/>
      <c r="S50" s="633"/>
      <c r="T50" s="281"/>
    </row>
  </sheetData>
  <dataConsolidate/>
  <mergeCells count="7">
    <mergeCell ref="J50:S50"/>
    <mergeCell ref="A1:T3"/>
    <mergeCell ref="D5:H5"/>
    <mergeCell ref="J46:S46"/>
    <mergeCell ref="J47:S47"/>
    <mergeCell ref="J48:S48"/>
    <mergeCell ref="J49:S49"/>
  </mergeCell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
  <sheetViews>
    <sheetView zoomScale="85" zoomScaleNormal="85" workbookViewId="0">
      <selection activeCell="G11" sqref="G11"/>
    </sheetView>
  </sheetViews>
  <sheetFormatPr defaultRowHeight="15" x14ac:dyDescent="0.25"/>
  <cols>
    <col min="1" max="1" width="13.28515625" style="165" customWidth="1"/>
    <col min="2" max="2" width="13.7109375" style="165" bestFit="1" customWidth="1"/>
    <col min="3" max="3" width="20.28515625" style="165" bestFit="1" customWidth="1"/>
    <col min="4" max="4" width="12.28515625" style="165" customWidth="1"/>
    <col min="5" max="5" width="14.5703125" style="165" customWidth="1"/>
    <col min="6" max="6" width="17.5703125" style="165" bestFit="1" customWidth="1"/>
    <col min="7" max="7" width="15.42578125" style="165" bestFit="1" customWidth="1"/>
    <col min="8" max="8" width="8.85546875" style="165" customWidth="1"/>
    <col min="9" max="10" width="13.5703125" style="165" customWidth="1"/>
    <col min="11" max="11" width="11.28515625" style="165" customWidth="1"/>
    <col min="12" max="12" width="12.140625" style="165" customWidth="1"/>
    <col min="13" max="18" width="9.140625" style="165"/>
    <col min="19" max="19" width="12.140625" style="165" customWidth="1"/>
    <col min="20" max="16384" width="9.140625" style="165"/>
  </cols>
  <sheetData>
    <row r="1" spans="1:11" x14ac:dyDescent="0.25">
      <c r="A1" s="305" t="s">
        <v>473</v>
      </c>
      <c r="B1" s="305" t="s">
        <v>474</v>
      </c>
      <c r="C1" s="305" t="s">
        <v>475</v>
      </c>
      <c r="D1" s="305" t="s">
        <v>476</v>
      </c>
      <c r="E1" s="305" t="s">
        <v>477</v>
      </c>
      <c r="F1" s="305" t="s">
        <v>478</v>
      </c>
      <c r="G1" s="305" t="s">
        <v>37</v>
      </c>
      <c r="H1" s="305" t="s">
        <v>479</v>
      </c>
      <c r="I1" s="305" t="s">
        <v>480</v>
      </c>
      <c r="J1" s="305" t="s">
        <v>481</v>
      </c>
      <c r="K1" s="305" t="s">
        <v>482</v>
      </c>
    </row>
    <row r="2" spans="1:11" x14ac:dyDescent="0.25">
      <c r="A2" s="168"/>
      <c r="B2" s="168"/>
      <c r="C2" s="168"/>
      <c r="D2" s="168"/>
      <c r="E2" s="527"/>
      <c r="F2" s="168"/>
      <c r="G2" s="168"/>
      <c r="H2" s="168"/>
      <c r="I2" s="168"/>
      <c r="J2" s="168"/>
      <c r="K2" s="168"/>
    </row>
  </sheetData>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P1"/>
  <sheetViews>
    <sheetView workbookViewId="0">
      <selection activeCell="M1" sqref="M1"/>
    </sheetView>
  </sheetViews>
  <sheetFormatPr defaultRowHeight="15" x14ac:dyDescent="0.25"/>
  <cols>
    <col min="1" max="1" width="8.42578125" bestFit="1" customWidth="1"/>
    <col min="2" max="2" width="15.42578125" style="165" customWidth="1"/>
    <col min="3" max="3" width="17" bestFit="1" customWidth="1"/>
    <col min="4" max="4" width="8.7109375" bestFit="1" customWidth="1"/>
    <col min="5" max="5" width="10.7109375" bestFit="1" customWidth="1"/>
    <col min="6" max="6" width="14.28515625" bestFit="1" customWidth="1"/>
    <col min="7" max="7" width="13.42578125" bestFit="1" customWidth="1"/>
    <col min="8" max="8" width="8.7109375" bestFit="1" customWidth="1"/>
    <col min="9" max="9" width="17.42578125" bestFit="1" customWidth="1"/>
    <col min="10" max="10" width="7.85546875" bestFit="1" customWidth="1"/>
    <col min="11" max="11" width="15.7109375" bestFit="1" customWidth="1"/>
    <col min="12" max="12" width="15" bestFit="1" customWidth="1"/>
    <col min="13" max="13" width="12.28515625" bestFit="1" customWidth="1"/>
    <col min="14" max="14" width="11.5703125" bestFit="1" customWidth="1"/>
    <col min="15" max="15" width="9.42578125" bestFit="1" customWidth="1"/>
    <col min="16" max="16" width="21.7109375" bestFit="1" customWidth="1"/>
    <col min="17" max="17" width="5.5703125" bestFit="1" customWidth="1"/>
    <col min="18" max="18" width="19.140625" bestFit="1" customWidth="1"/>
    <col min="19" max="19" width="15" bestFit="1" customWidth="1"/>
    <col min="20" max="20" width="25" bestFit="1" customWidth="1"/>
    <col min="21" max="21" width="28.42578125" bestFit="1" customWidth="1"/>
    <col min="22" max="22" width="13.85546875" bestFit="1" customWidth="1"/>
    <col min="23" max="23" width="11.5703125" bestFit="1" customWidth="1"/>
    <col min="24" max="24" width="8.5703125" customWidth="1"/>
    <col min="25" max="27" width="12" bestFit="1" customWidth="1"/>
    <col min="28" max="28" width="13.28515625" bestFit="1" customWidth="1"/>
    <col min="29" max="29" width="12" bestFit="1" customWidth="1"/>
    <col min="30" max="30" width="17.42578125" bestFit="1" customWidth="1"/>
    <col min="31" max="31" width="11.42578125" bestFit="1" customWidth="1"/>
    <col min="32" max="32" width="12" bestFit="1" customWidth="1"/>
    <col min="33" max="33" width="6.28515625" bestFit="1" customWidth="1"/>
    <col min="34" max="34" width="6.140625" bestFit="1" customWidth="1"/>
    <col min="35" max="37" width="12" bestFit="1" customWidth="1"/>
    <col min="38" max="38" width="15.5703125" bestFit="1" customWidth="1"/>
    <col min="39" max="39" width="12.7109375" bestFit="1" customWidth="1"/>
    <col min="40" max="40" width="12" bestFit="1" customWidth="1"/>
    <col min="41" max="41" width="12.7109375" bestFit="1" customWidth="1"/>
    <col min="42" max="42" width="18" bestFit="1" customWidth="1"/>
  </cols>
  <sheetData>
    <row r="1" spans="1:42" x14ac:dyDescent="0.25">
      <c r="A1" s="307" t="s">
        <v>483</v>
      </c>
      <c r="B1" s="526" t="s">
        <v>648</v>
      </c>
      <c r="C1" s="307" t="s">
        <v>484</v>
      </c>
      <c r="D1" s="307" t="s">
        <v>485</v>
      </c>
      <c r="E1" s="307" t="s">
        <v>510</v>
      </c>
      <c r="F1" s="308" t="s">
        <v>507</v>
      </c>
      <c r="G1" s="308" t="s">
        <v>508</v>
      </c>
      <c r="H1" s="308" t="s">
        <v>486</v>
      </c>
      <c r="I1" s="307" t="s">
        <v>459</v>
      </c>
      <c r="J1" s="307" t="s">
        <v>487</v>
      </c>
      <c r="K1" s="307" t="s">
        <v>488</v>
      </c>
      <c r="L1" s="307" t="s">
        <v>489</v>
      </c>
      <c r="M1" s="307" t="s">
        <v>490</v>
      </c>
      <c r="N1" s="307" t="s">
        <v>491</v>
      </c>
      <c r="O1" s="307" t="s">
        <v>492</v>
      </c>
      <c r="P1" s="307" t="s">
        <v>493</v>
      </c>
      <c r="Q1" s="307" t="s">
        <v>392</v>
      </c>
      <c r="R1" s="307" t="s">
        <v>494</v>
      </c>
      <c r="S1" s="307" t="s">
        <v>495</v>
      </c>
      <c r="T1" s="307" t="s">
        <v>496</v>
      </c>
      <c r="U1" s="307" t="s">
        <v>497</v>
      </c>
      <c r="V1" s="307" t="s">
        <v>498</v>
      </c>
      <c r="W1" s="307" t="s">
        <v>458</v>
      </c>
      <c r="X1" s="307" t="s">
        <v>410</v>
      </c>
      <c r="Y1" s="306" t="s">
        <v>499</v>
      </c>
      <c r="Z1" s="307" t="s">
        <v>500</v>
      </c>
      <c r="AA1" s="307" t="s">
        <v>455</v>
      </c>
      <c r="AB1" s="307" t="s">
        <v>472</v>
      </c>
      <c r="AC1" s="307" t="s">
        <v>501</v>
      </c>
      <c r="AD1" s="307" t="s">
        <v>502</v>
      </c>
      <c r="AE1" s="307" t="s">
        <v>468</v>
      </c>
      <c r="AF1" s="307" t="s">
        <v>98</v>
      </c>
      <c r="AG1" s="307" t="s">
        <v>503</v>
      </c>
      <c r="AH1" s="307" t="s">
        <v>504</v>
      </c>
      <c r="AI1" s="308" t="s">
        <v>429</v>
      </c>
      <c r="AJ1" s="307" t="s">
        <v>456</v>
      </c>
      <c r="AK1" s="308" t="s">
        <v>505</v>
      </c>
      <c r="AL1" s="308" t="s">
        <v>509</v>
      </c>
      <c r="AM1" s="309" t="s">
        <v>457</v>
      </c>
      <c r="AN1" s="307" t="s">
        <v>464</v>
      </c>
      <c r="AO1" s="307" t="s">
        <v>435</v>
      </c>
      <c r="AP1" s="307" t="s">
        <v>506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A57"/>
  <sheetViews>
    <sheetView zoomScale="70" zoomScaleNormal="70" workbookViewId="0">
      <selection activeCell="F26" sqref="F26:G26"/>
    </sheetView>
  </sheetViews>
  <sheetFormatPr defaultColWidth="10.140625" defaultRowHeight="12.75" x14ac:dyDescent="0.2"/>
  <cols>
    <col min="1" max="1" width="6.42578125" style="310" customWidth="1"/>
    <col min="2" max="2" width="9" style="310" customWidth="1"/>
    <col min="3" max="3" width="15" style="310" customWidth="1"/>
    <col min="4" max="4" width="16.28515625" style="310" customWidth="1"/>
    <col min="5" max="5" width="13.28515625" style="310" customWidth="1"/>
    <col min="6" max="6" width="25" style="310" customWidth="1"/>
    <col min="7" max="7" width="22.140625" style="310" customWidth="1"/>
    <col min="8" max="8" width="8.140625" style="310" customWidth="1"/>
    <col min="9" max="9" width="7.42578125" style="310" customWidth="1"/>
    <col min="10" max="10" width="12.7109375" style="310" customWidth="1"/>
    <col min="11" max="12" width="13" style="310" customWidth="1"/>
    <col min="13" max="16" width="9.85546875" style="310" customWidth="1"/>
    <col min="17" max="17" width="8.5703125" style="310" customWidth="1"/>
    <col min="18" max="18" width="14.7109375" style="310" customWidth="1"/>
    <col min="19" max="19" width="17.7109375" style="310" customWidth="1"/>
    <col min="20" max="20" width="12" style="310" customWidth="1"/>
    <col min="21" max="21" width="7.42578125" style="310" customWidth="1"/>
    <col min="22" max="22" width="14.42578125" style="310" bestFit="1" customWidth="1"/>
    <col min="23" max="23" width="10.140625" style="310"/>
    <col min="24" max="25" width="10.42578125" style="310" hidden="1" customWidth="1"/>
    <col min="26" max="26" width="10.140625" style="310"/>
    <col min="27" max="27" width="0" style="310" hidden="1" customWidth="1"/>
    <col min="28" max="16384" width="10.140625" style="310"/>
  </cols>
  <sheetData>
    <row r="1" spans="1:23" ht="21" thickBot="1" x14ac:dyDescent="0.25">
      <c r="A1" s="751" t="s">
        <v>512</v>
      </c>
      <c r="B1" s="751"/>
      <c r="C1" s="751"/>
      <c r="D1" s="751"/>
      <c r="E1" s="751"/>
      <c r="F1" s="751"/>
      <c r="G1" s="751"/>
      <c r="H1" s="751"/>
      <c r="I1" s="751"/>
      <c r="J1" s="751"/>
      <c r="K1" s="751"/>
      <c r="L1" s="751"/>
      <c r="M1" s="751"/>
      <c r="N1" s="751"/>
      <c r="O1" s="751"/>
      <c r="P1" s="751"/>
      <c r="Q1" s="751"/>
      <c r="R1" s="751"/>
      <c r="S1" s="751"/>
      <c r="T1" s="751"/>
      <c r="U1" s="751"/>
      <c r="V1" s="751"/>
    </row>
    <row r="2" spans="1:23" ht="15" x14ac:dyDescent="0.2">
      <c r="A2" s="752"/>
      <c r="B2" s="753"/>
      <c r="C2" s="754"/>
      <c r="D2" s="761" t="s">
        <v>513</v>
      </c>
      <c r="E2" s="762"/>
      <c r="F2" s="765"/>
      <c r="G2" s="766"/>
      <c r="H2" s="511"/>
      <c r="I2" s="511"/>
      <c r="J2" s="511"/>
      <c r="K2" s="511"/>
      <c r="L2" s="511"/>
      <c r="M2" s="511"/>
      <c r="N2" s="511"/>
      <c r="O2" s="511"/>
      <c r="P2" s="511"/>
      <c r="Q2" s="511"/>
      <c r="R2" s="511"/>
      <c r="S2" s="511"/>
      <c r="T2" s="511"/>
      <c r="U2" s="511"/>
      <c r="V2" s="511"/>
    </row>
    <row r="3" spans="1:23" ht="15.75" thickBot="1" x14ac:dyDescent="0.25">
      <c r="A3" s="755"/>
      <c r="B3" s="756"/>
      <c r="C3" s="757"/>
      <c r="D3" s="763"/>
      <c r="E3" s="764"/>
      <c r="F3" s="767"/>
      <c r="G3" s="768"/>
      <c r="H3" s="511"/>
      <c r="I3" s="511"/>
      <c r="J3" s="511"/>
      <c r="K3" s="511"/>
      <c r="L3" s="511"/>
      <c r="M3" s="511"/>
      <c r="N3" s="511"/>
      <c r="O3" s="511"/>
      <c r="P3" s="511"/>
      <c r="Q3" s="511"/>
      <c r="R3" s="511"/>
      <c r="S3" s="511"/>
      <c r="T3" s="511"/>
      <c r="U3" s="511"/>
      <c r="V3" s="511"/>
    </row>
    <row r="4" spans="1:23" ht="16.5" thickBot="1" x14ac:dyDescent="0.3">
      <c r="A4" s="755"/>
      <c r="B4" s="756"/>
      <c r="C4" s="757"/>
      <c r="D4" s="763" t="s">
        <v>514</v>
      </c>
      <c r="E4" s="764"/>
      <c r="F4" s="509" t="s">
        <v>515</v>
      </c>
      <c r="G4" s="510" t="s">
        <v>516</v>
      </c>
      <c r="H4" s="511"/>
      <c r="I4" s="511"/>
      <c r="J4" s="511"/>
      <c r="K4" s="511"/>
      <c r="L4" s="511"/>
      <c r="M4" s="511"/>
      <c r="N4" s="511"/>
      <c r="O4" s="511"/>
      <c r="P4" s="511"/>
      <c r="Q4" s="511"/>
      <c r="R4" s="511"/>
      <c r="S4" s="511"/>
      <c r="T4" s="511"/>
      <c r="U4" s="511"/>
      <c r="V4" s="511"/>
    </row>
    <row r="5" spans="1:23" ht="16.5" thickBot="1" x14ac:dyDescent="0.3">
      <c r="A5" s="758"/>
      <c r="B5" s="759"/>
      <c r="C5" s="760"/>
      <c r="D5" s="769"/>
      <c r="E5" s="770"/>
      <c r="F5" s="524"/>
      <c r="G5" s="523"/>
      <c r="H5" s="511"/>
      <c r="I5" s="511"/>
      <c r="J5" s="511"/>
      <c r="K5" s="511"/>
      <c r="L5" s="511"/>
      <c r="M5" s="511"/>
      <c r="N5" s="511"/>
      <c r="O5" s="511"/>
      <c r="P5" s="511"/>
      <c r="Q5" s="511"/>
      <c r="R5" s="511"/>
      <c r="S5" s="511"/>
      <c r="T5" s="511"/>
      <c r="U5" s="511"/>
      <c r="V5" s="511"/>
    </row>
    <row r="6" spans="1:23" ht="16.5" thickBot="1" x14ac:dyDescent="0.3">
      <c r="A6" s="520"/>
      <c r="B6" s="520"/>
      <c r="C6" s="520"/>
      <c r="D6" s="311"/>
      <c r="E6" s="311"/>
      <c r="F6" s="312"/>
      <c r="G6" s="512"/>
      <c r="H6" s="511"/>
      <c r="I6" s="511"/>
      <c r="J6" s="511"/>
      <c r="K6" s="511"/>
      <c r="L6" s="511"/>
      <c r="M6" s="511"/>
      <c r="N6" s="511"/>
      <c r="O6" s="511"/>
      <c r="P6" s="511"/>
      <c r="Q6" s="511"/>
      <c r="R6" s="511"/>
      <c r="S6" s="511"/>
      <c r="T6" s="511"/>
      <c r="U6" s="511"/>
      <c r="V6" s="511"/>
    </row>
    <row r="7" spans="1:23" ht="16.5" thickBot="1" x14ac:dyDescent="0.25">
      <c r="A7" s="771" t="s">
        <v>517</v>
      </c>
      <c r="B7" s="729"/>
      <c r="C7" s="729"/>
      <c r="D7" s="730"/>
      <c r="E7" s="516"/>
      <c r="F7" s="772" t="s">
        <v>518</v>
      </c>
      <c r="G7" s="729"/>
      <c r="H7" s="729"/>
      <c r="I7" s="729"/>
      <c r="J7" s="730"/>
      <c r="K7" s="513"/>
      <c r="L7" s="513"/>
      <c r="M7" s="773" t="s">
        <v>519</v>
      </c>
      <c r="N7" s="729"/>
      <c r="O7" s="729"/>
      <c r="P7" s="729"/>
      <c r="Q7" s="729"/>
      <c r="R7" s="729"/>
      <c r="S7" s="730"/>
      <c r="T7" s="733"/>
      <c r="U7" s="734"/>
      <c r="V7" s="735"/>
    </row>
    <row r="8" spans="1:23" ht="16.5" thickBot="1" x14ac:dyDescent="0.3">
      <c r="A8" s="508" t="s">
        <v>520</v>
      </c>
      <c r="B8" s="314"/>
      <c r="C8" s="521"/>
      <c r="D8" s="523"/>
      <c r="E8" s="514"/>
      <c r="F8" s="316" t="s">
        <v>37</v>
      </c>
      <c r="G8" s="774"/>
      <c r="H8" s="775"/>
      <c r="I8" s="775"/>
      <c r="J8" s="776"/>
      <c r="K8" s="514"/>
      <c r="L8" s="514"/>
      <c r="M8" s="731" t="s">
        <v>521</v>
      </c>
      <c r="N8" s="729"/>
      <c r="O8" s="730"/>
      <c r="P8" s="782" t="s">
        <v>522</v>
      </c>
      <c r="Q8" s="783"/>
      <c r="R8" s="783"/>
      <c r="S8" s="784"/>
      <c r="T8" s="736"/>
      <c r="U8" s="737"/>
      <c r="V8" s="738"/>
    </row>
    <row r="9" spans="1:23" ht="16.5" thickBot="1" x14ac:dyDescent="0.3">
      <c r="A9" s="731" t="s">
        <v>523</v>
      </c>
      <c r="B9" s="729"/>
      <c r="C9" s="730"/>
      <c r="D9" s="523"/>
      <c r="E9" s="514"/>
      <c r="F9" s="316" t="s">
        <v>478</v>
      </c>
      <c r="G9" s="774"/>
      <c r="H9" s="775"/>
      <c r="I9" s="775"/>
      <c r="J9" s="776"/>
      <c r="K9" s="514"/>
      <c r="L9" s="514"/>
      <c r="M9" s="731" t="s">
        <v>524</v>
      </c>
      <c r="N9" s="729"/>
      <c r="O9" s="730"/>
      <c r="P9" s="782">
        <v>16459</v>
      </c>
      <c r="Q9" s="783"/>
      <c r="R9" s="783"/>
      <c r="S9" s="784"/>
      <c r="T9" s="736"/>
      <c r="U9" s="737"/>
      <c r="V9" s="738"/>
    </row>
    <row r="10" spans="1:23" ht="16.5" thickBot="1" x14ac:dyDescent="0.3">
      <c r="A10" s="315"/>
      <c r="B10" s="315"/>
      <c r="C10" s="315"/>
      <c r="D10" s="315"/>
      <c r="E10" s="317"/>
      <c r="F10" s="318"/>
      <c r="G10" s="777"/>
      <c r="H10" s="778"/>
      <c r="I10" s="778"/>
      <c r="J10" s="778"/>
      <c r="K10" s="514"/>
      <c r="L10" s="514"/>
      <c r="M10" s="731" t="s">
        <v>525</v>
      </c>
      <c r="N10" s="729"/>
      <c r="O10" s="730"/>
      <c r="P10" s="732"/>
      <c r="Q10" s="652"/>
      <c r="R10" s="652"/>
      <c r="S10" s="653"/>
      <c r="T10" s="736"/>
      <c r="U10" s="737"/>
      <c r="V10" s="738"/>
    </row>
    <row r="11" spans="1:23" ht="24" thickBot="1" x14ac:dyDescent="0.4">
      <c r="A11" s="779" t="s">
        <v>526</v>
      </c>
      <c r="B11" s="780"/>
      <c r="C11" s="780"/>
      <c r="D11" s="780"/>
      <c r="E11" s="781"/>
      <c r="F11" s="318"/>
      <c r="G11" s="515"/>
      <c r="H11" s="516"/>
      <c r="I11" s="516"/>
      <c r="J11" s="516"/>
      <c r="K11" s="514"/>
      <c r="L11" s="514"/>
      <c r="M11" s="731" t="s">
        <v>527</v>
      </c>
      <c r="N11" s="729"/>
      <c r="O11" s="730"/>
      <c r="P11" s="732"/>
      <c r="Q11" s="652"/>
      <c r="R11" s="652"/>
      <c r="S11" s="653"/>
      <c r="T11" s="739"/>
      <c r="U11" s="740"/>
      <c r="V11" s="741"/>
      <c r="W11" s="319"/>
    </row>
    <row r="12" spans="1:23" ht="18.75" thickBot="1" x14ac:dyDescent="0.3">
      <c r="A12" s="726" t="s">
        <v>528</v>
      </c>
      <c r="B12" s="727"/>
      <c r="C12" s="522"/>
      <c r="D12" s="320" t="s">
        <v>529</v>
      </c>
      <c r="E12" s="522"/>
      <c r="F12" s="728" t="s">
        <v>530</v>
      </c>
      <c r="G12" s="729"/>
      <c r="H12" s="729"/>
      <c r="I12" s="729"/>
      <c r="J12" s="730"/>
      <c r="K12" s="514"/>
      <c r="L12" s="514"/>
      <c r="M12" s="731" t="s">
        <v>531</v>
      </c>
      <c r="N12" s="729"/>
      <c r="O12" s="730"/>
      <c r="P12" s="732"/>
      <c r="Q12" s="652"/>
      <c r="R12" s="652"/>
      <c r="S12" s="653"/>
      <c r="T12" s="733"/>
      <c r="U12" s="734"/>
      <c r="V12" s="735"/>
      <c r="W12" s="313"/>
    </row>
    <row r="13" spans="1:23" ht="18.75" thickBot="1" x14ac:dyDescent="0.3">
      <c r="A13" s="742" t="s">
        <v>532</v>
      </c>
      <c r="B13" s="743"/>
      <c r="C13" s="522"/>
      <c r="D13" s="321" t="s">
        <v>533</v>
      </c>
      <c r="E13" s="522"/>
      <c r="F13" s="322" t="s">
        <v>490</v>
      </c>
      <c r="G13" s="651"/>
      <c r="H13" s="652"/>
      <c r="I13" s="652"/>
      <c r="J13" s="653"/>
      <c r="K13" s="514"/>
      <c r="L13" s="514"/>
      <c r="M13" s="744"/>
      <c r="N13" s="744"/>
      <c r="O13" s="744"/>
      <c r="P13" s="745"/>
      <c r="Q13" s="745"/>
      <c r="R13" s="745"/>
      <c r="S13" s="746"/>
      <c r="T13" s="736"/>
      <c r="U13" s="737"/>
      <c r="V13" s="738"/>
      <c r="W13" s="323"/>
    </row>
    <row r="14" spans="1:23" ht="18.75" thickBot="1" x14ac:dyDescent="0.3">
      <c r="A14" s="742" t="s">
        <v>534</v>
      </c>
      <c r="B14" s="743"/>
      <c r="C14" s="522"/>
      <c r="D14" s="324" t="s">
        <v>535</v>
      </c>
      <c r="E14" s="522"/>
      <c r="F14" s="322" t="s">
        <v>536</v>
      </c>
      <c r="G14" s="654"/>
      <c r="H14" s="655"/>
      <c r="I14" s="655"/>
      <c r="J14" s="656"/>
      <c r="K14" s="513"/>
      <c r="L14" s="513"/>
      <c r="M14" s="747"/>
      <c r="N14" s="747"/>
      <c r="O14" s="747"/>
      <c r="P14" s="747"/>
      <c r="Q14" s="747"/>
      <c r="R14" s="747"/>
      <c r="S14" s="517"/>
      <c r="T14" s="736"/>
      <c r="U14" s="737"/>
      <c r="V14" s="738"/>
      <c r="W14" s="313"/>
    </row>
    <row r="15" spans="1:23" ht="18.75" thickBot="1" x14ac:dyDescent="0.3">
      <c r="A15" s="748" t="s">
        <v>537</v>
      </c>
      <c r="B15" s="749"/>
      <c r="C15" s="522"/>
      <c r="D15" s="325" t="s">
        <v>538</v>
      </c>
      <c r="E15" s="522"/>
      <c r="F15" s="322" t="s">
        <v>539</v>
      </c>
      <c r="G15" s="654"/>
      <c r="H15" s="655"/>
      <c r="I15" s="655"/>
      <c r="J15" s="656"/>
      <c r="K15" s="518"/>
      <c r="L15" s="518"/>
      <c r="M15" s="750" t="s">
        <v>540</v>
      </c>
      <c r="N15" s="729"/>
      <c r="O15" s="729"/>
      <c r="P15" s="729"/>
      <c r="Q15" s="729"/>
      <c r="R15" s="730"/>
      <c r="S15" s="525"/>
      <c r="T15" s="736"/>
      <c r="U15" s="737"/>
      <c r="V15" s="738"/>
    </row>
    <row r="16" spans="1:23" ht="15.75" thickBot="1" x14ac:dyDescent="0.25">
      <c r="A16" s="326" t="s">
        <v>541</v>
      </c>
      <c r="B16" s="327"/>
      <c r="C16" s="327"/>
      <c r="D16" s="327"/>
      <c r="E16" s="317"/>
      <c r="F16" s="519"/>
      <c r="G16" s="519"/>
      <c r="H16" s="519"/>
      <c r="I16" s="519"/>
      <c r="J16" s="519"/>
      <c r="K16" s="519"/>
      <c r="L16" s="519"/>
      <c r="M16" s="519"/>
      <c r="N16" s="519"/>
      <c r="O16" s="519"/>
      <c r="P16" s="519"/>
      <c r="Q16" s="519"/>
      <c r="R16" s="519"/>
      <c r="S16" s="519"/>
      <c r="T16" s="739"/>
      <c r="U16" s="740"/>
      <c r="V16" s="741"/>
    </row>
    <row r="17" spans="1:25" ht="13.5" thickBot="1" x14ac:dyDescent="0.25">
      <c r="A17" s="716" t="s">
        <v>542</v>
      </c>
      <c r="B17" s="717"/>
      <c r="C17" s="717"/>
      <c r="D17" s="717"/>
      <c r="E17" s="717"/>
      <c r="F17" s="717"/>
      <c r="G17" s="717"/>
      <c r="H17" s="710"/>
      <c r="I17" s="328"/>
      <c r="J17" s="329"/>
      <c r="K17" s="330"/>
      <c r="L17" s="331"/>
      <c r="M17" s="332"/>
      <c r="N17" s="332"/>
      <c r="O17" s="332"/>
      <c r="P17" s="332"/>
      <c r="Q17" s="332"/>
      <c r="R17" s="333"/>
      <c r="S17" s="333"/>
      <c r="T17" s="333"/>
      <c r="U17" s="333"/>
      <c r="V17" s="333"/>
    </row>
    <row r="18" spans="1:25" ht="15.75" customHeight="1" x14ac:dyDescent="0.2">
      <c r="A18" s="702" t="s">
        <v>543</v>
      </c>
      <c r="B18" s="718"/>
      <c r="C18" s="718"/>
      <c r="D18" s="691"/>
      <c r="E18" s="719" t="s">
        <v>544</v>
      </c>
      <c r="F18" s="720" t="s">
        <v>545</v>
      </c>
      <c r="G18" s="710"/>
      <c r="H18" s="721" t="s">
        <v>2</v>
      </c>
      <c r="I18" s="719" t="s">
        <v>3</v>
      </c>
      <c r="J18" s="722" t="s">
        <v>546</v>
      </c>
      <c r="K18" s="723"/>
      <c r="L18" s="706" t="s">
        <v>547</v>
      </c>
      <c r="M18" s="702" t="s">
        <v>548</v>
      </c>
      <c r="N18" s="708"/>
      <c r="O18" s="709" t="s">
        <v>549</v>
      </c>
      <c r="P18" s="710"/>
      <c r="Q18" s="711" t="s">
        <v>550</v>
      </c>
      <c r="R18" s="711" t="s">
        <v>551</v>
      </c>
      <c r="S18" s="702" t="s">
        <v>552</v>
      </c>
      <c r="T18" s="704"/>
      <c r="U18" s="691"/>
      <c r="V18" s="700" t="s">
        <v>553</v>
      </c>
    </row>
    <row r="19" spans="1:25" ht="15" customHeight="1" x14ac:dyDescent="0.2">
      <c r="A19" s="714"/>
      <c r="B19" s="718"/>
      <c r="C19" s="718"/>
      <c r="D19" s="691"/>
      <c r="E19" s="712"/>
      <c r="F19" s="718"/>
      <c r="G19" s="691"/>
      <c r="H19" s="712"/>
      <c r="I19" s="712"/>
      <c r="J19" s="724"/>
      <c r="K19" s="725"/>
      <c r="L19" s="706"/>
      <c r="M19" s="702"/>
      <c r="N19" s="708"/>
      <c r="O19" s="702" t="s">
        <v>554</v>
      </c>
      <c r="P19" s="691"/>
      <c r="Q19" s="712"/>
      <c r="R19" s="712"/>
      <c r="S19" s="714"/>
      <c r="T19" s="704"/>
      <c r="U19" s="691"/>
      <c r="V19" s="700"/>
    </row>
    <row r="20" spans="1:25" ht="15.75" thickBot="1" x14ac:dyDescent="0.25">
      <c r="A20" s="714"/>
      <c r="B20" s="718"/>
      <c r="C20" s="718"/>
      <c r="D20" s="691"/>
      <c r="E20" s="712"/>
      <c r="F20" s="718"/>
      <c r="G20" s="691"/>
      <c r="H20" s="712"/>
      <c r="I20" s="712"/>
      <c r="J20" s="724"/>
      <c r="K20" s="725"/>
      <c r="L20" s="706"/>
      <c r="M20" s="702"/>
      <c r="N20" s="708"/>
      <c r="O20" s="334"/>
      <c r="P20" s="335"/>
      <c r="Q20" s="712"/>
      <c r="R20" s="712"/>
      <c r="S20" s="714"/>
      <c r="T20" s="704"/>
      <c r="U20" s="691"/>
      <c r="V20" s="700"/>
    </row>
    <row r="21" spans="1:25" ht="15" x14ac:dyDescent="0.2">
      <c r="A21" s="714"/>
      <c r="B21" s="718"/>
      <c r="C21" s="718"/>
      <c r="D21" s="691"/>
      <c r="E21" s="712"/>
      <c r="F21" s="718"/>
      <c r="G21" s="691"/>
      <c r="H21" s="712"/>
      <c r="I21" s="712"/>
      <c r="J21" s="469" t="s">
        <v>555</v>
      </c>
      <c r="K21" s="468" t="s">
        <v>556</v>
      </c>
      <c r="L21" s="706"/>
      <c r="M21" s="336" t="s">
        <v>557</v>
      </c>
      <c r="N21" s="337" t="s">
        <v>558</v>
      </c>
      <c r="O21" s="465"/>
      <c r="P21" s="463"/>
      <c r="Q21" s="712"/>
      <c r="R21" s="712"/>
      <c r="S21" s="714"/>
      <c r="T21" s="704"/>
      <c r="U21" s="691"/>
      <c r="V21" s="700"/>
    </row>
    <row r="22" spans="1:25" ht="16.5" thickBot="1" x14ac:dyDescent="0.25">
      <c r="A22" s="715"/>
      <c r="B22" s="661"/>
      <c r="C22" s="661"/>
      <c r="D22" s="662"/>
      <c r="E22" s="713"/>
      <c r="F22" s="661"/>
      <c r="G22" s="662"/>
      <c r="H22" s="713"/>
      <c r="I22" s="713"/>
      <c r="J22" s="470" t="s">
        <v>559</v>
      </c>
      <c r="K22" s="338" t="s">
        <v>560</v>
      </c>
      <c r="L22" s="707"/>
      <c r="M22" s="339" t="s">
        <v>561</v>
      </c>
      <c r="N22" s="340" t="s">
        <v>561</v>
      </c>
      <c r="O22" s="466" t="s">
        <v>562</v>
      </c>
      <c r="P22" s="464" t="s">
        <v>563</v>
      </c>
      <c r="Q22" s="713"/>
      <c r="R22" s="713"/>
      <c r="S22" s="715"/>
      <c r="T22" s="661"/>
      <c r="U22" s="662"/>
      <c r="V22" s="701"/>
    </row>
    <row r="23" spans="1:25" s="352" customFormat="1" ht="13.5" thickBot="1" x14ac:dyDescent="0.25">
      <c r="A23" s="341"/>
      <c r="B23" s="342"/>
      <c r="C23" s="343"/>
      <c r="D23" s="344"/>
      <c r="E23" s="345"/>
      <c r="F23" s="345"/>
      <c r="G23" s="345"/>
      <c r="H23" s="346"/>
      <c r="I23" s="345"/>
      <c r="J23" s="347"/>
      <c r="K23" s="348"/>
      <c r="L23" s="348"/>
      <c r="M23" s="348"/>
      <c r="N23" s="349"/>
      <c r="O23" s="349"/>
      <c r="P23" s="350"/>
      <c r="Q23" s="345"/>
      <c r="R23" s="345"/>
      <c r="S23" s="351"/>
      <c r="T23" s="703"/>
      <c r="U23" s="704"/>
      <c r="V23" s="691"/>
      <c r="X23" s="352" t="s">
        <v>564</v>
      </c>
      <c r="Y23" s="352" t="s">
        <v>565</v>
      </c>
    </row>
    <row r="24" spans="1:25" ht="15.75" x14ac:dyDescent="0.25">
      <c r="A24" s="353"/>
      <c r="B24" s="354">
        <v>1</v>
      </c>
      <c r="C24" s="355" t="s">
        <v>566</v>
      </c>
      <c r="D24" s="356"/>
      <c r="E24" s="471" t="s">
        <v>544</v>
      </c>
      <c r="R24" s="310" t="s">
        <v>567</v>
      </c>
      <c r="V24" s="478"/>
      <c r="Y24" s="310" t="s">
        <v>568</v>
      </c>
    </row>
    <row r="25" spans="1:25" ht="16.5" thickBot="1" x14ac:dyDescent="0.3">
      <c r="A25" s="705" t="s">
        <v>569</v>
      </c>
      <c r="B25" s="704"/>
      <c r="C25" s="704"/>
      <c r="D25" s="691"/>
      <c r="E25" s="472"/>
      <c r="F25" s="681"/>
      <c r="G25" s="682"/>
      <c r="H25" s="439"/>
      <c r="I25" s="440"/>
      <c r="J25" s="479"/>
      <c r="K25" s="480"/>
      <c r="L25" s="480"/>
      <c r="M25" s="481"/>
      <c r="N25" s="482"/>
      <c r="O25" s="481"/>
      <c r="P25" s="483"/>
      <c r="Q25" s="484"/>
      <c r="R25" s="485"/>
      <c r="S25" s="645"/>
      <c r="T25" s="646"/>
      <c r="U25" s="647"/>
      <c r="V25" s="480"/>
    </row>
    <row r="26" spans="1:25" ht="19.5" thickTop="1" thickBot="1" x14ac:dyDescent="0.3">
      <c r="A26" s="357"/>
      <c r="B26" s="358">
        <v>2</v>
      </c>
      <c r="C26" s="697" t="s">
        <v>570</v>
      </c>
      <c r="D26" s="691"/>
      <c r="E26" s="473"/>
      <c r="F26" s="681"/>
      <c r="G26" s="682"/>
      <c r="H26" s="439"/>
      <c r="I26" s="441"/>
      <c r="J26" s="486"/>
      <c r="K26" s="480"/>
      <c r="L26" s="487"/>
      <c r="M26" s="442"/>
      <c r="N26" s="449"/>
      <c r="O26" s="442"/>
      <c r="P26" s="443"/>
      <c r="Q26" s="444"/>
      <c r="R26" s="441"/>
      <c r="S26" s="645"/>
      <c r="T26" s="646"/>
      <c r="U26" s="647"/>
      <c r="V26" s="443"/>
    </row>
    <row r="27" spans="1:25" ht="17.25" thickTop="1" thickBot="1" x14ac:dyDescent="0.3">
      <c r="A27" s="359"/>
      <c r="B27" s="315"/>
      <c r="C27" s="696" t="s">
        <v>571</v>
      </c>
      <c r="D27" s="691"/>
      <c r="E27" s="474"/>
      <c r="F27" s="681"/>
      <c r="G27" s="682"/>
      <c r="H27" s="439"/>
      <c r="I27" s="440"/>
      <c r="J27" s="479"/>
      <c r="K27" s="480"/>
      <c r="L27" s="487"/>
      <c r="M27" s="442"/>
      <c r="N27" s="449"/>
      <c r="O27" s="442"/>
      <c r="P27" s="445"/>
      <c r="Q27" s="448"/>
      <c r="R27" s="440"/>
      <c r="S27" s="645"/>
      <c r="T27" s="646"/>
      <c r="U27" s="647"/>
      <c r="V27" s="445"/>
    </row>
    <row r="28" spans="1:25" ht="19.5" thickTop="1" thickBot="1" x14ac:dyDescent="0.3">
      <c r="A28" s="357"/>
      <c r="B28" s="360" t="s">
        <v>572</v>
      </c>
      <c r="C28" s="697" t="s">
        <v>573</v>
      </c>
      <c r="D28" s="691"/>
      <c r="E28" s="474"/>
      <c r="F28" s="681"/>
      <c r="G28" s="682"/>
      <c r="H28" s="439"/>
      <c r="I28" s="440"/>
      <c r="J28" s="479"/>
      <c r="K28" s="480"/>
      <c r="L28" s="487"/>
      <c r="M28" s="442"/>
      <c r="N28" s="449"/>
      <c r="O28" s="442"/>
      <c r="P28" s="445"/>
      <c r="Q28" s="448"/>
      <c r="R28" s="440"/>
      <c r="S28" s="645"/>
      <c r="T28" s="646"/>
      <c r="U28" s="647"/>
      <c r="V28" s="445"/>
    </row>
    <row r="29" spans="1:25" ht="17.25" thickTop="1" thickBot="1" x14ac:dyDescent="0.3">
      <c r="A29" s="359"/>
      <c r="B29" s="360"/>
      <c r="C29" s="696" t="s">
        <v>571</v>
      </c>
      <c r="D29" s="691"/>
      <c r="E29" s="474"/>
      <c r="F29" s="681"/>
      <c r="G29" s="682"/>
      <c r="H29" s="439"/>
      <c r="I29" s="440"/>
      <c r="J29" s="479"/>
      <c r="K29" s="480"/>
      <c r="L29" s="487"/>
      <c r="M29" s="442"/>
      <c r="N29" s="449"/>
      <c r="O29" s="442"/>
      <c r="P29" s="445"/>
      <c r="Q29" s="448"/>
      <c r="R29" s="440"/>
      <c r="S29" s="645"/>
      <c r="T29" s="646"/>
      <c r="U29" s="647"/>
      <c r="V29" s="445"/>
    </row>
    <row r="30" spans="1:25" ht="19.5" thickTop="1" thickBot="1" x14ac:dyDescent="0.3">
      <c r="A30" s="357"/>
      <c r="B30" s="360" t="s">
        <v>574</v>
      </c>
      <c r="C30" s="697" t="s">
        <v>575</v>
      </c>
      <c r="D30" s="691"/>
      <c r="E30" s="474"/>
      <c r="F30" s="681"/>
      <c r="G30" s="682"/>
      <c r="H30" s="439"/>
      <c r="I30" s="440"/>
      <c r="J30" s="479"/>
      <c r="K30" s="480"/>
      <c r="L30" s="487"/>
      <c r="M30" s="442"/>
      <c r="N30" s="449"/>
      <c r="O30" s="442"/>
      <c r="P30" s="445"/>
      <c r="Q30" s="448"/>
      <c r="R30" s="440"/>
      <c r="S30" s="645"/>
      <c r="T30" s="646"/>
      <c r="U30" s="647"/>
      <c r="V30" s="445"/>
    </row>
    <row r="31" spans="1:25" ht="16.5" thickTop="1" x14ac:dyDescent="0.25">
      <c r="A31" s="359"/>
      <c r="B31" s="360"/>
      <c r="C31" s="696" t="s">
        <v>571</v>
      </c>
      <c r="D31" s="691"/>
      <c r="E31" s="474"/>
      <c r="F31" s="681"/>
      <c r="G31" s="682"/>
      <c r="H31" s="439"/>
      <c r="I31" s="440"/>
      <c r="J31" s="479"/>
      <c r="K31" s="480"/>
      <c r="L31" s="487"/>
      <c r="M31" s="442"/>
      <c r="N31" s="449"/>
      <c r="O31" s="442"/>
      <c r="P31" s="445"/>
      <c r="Q31" s="448"/>
      <c r="R31" s="440"/>
      <c r="S31" s="645"/>
      <c r="T31" s="646"/>
      <c r="U31" s="647"/>
      <c r="V31" s="445"/>
    </row>
    <row r="32" spans="1:25" ht="16.5" thickBot="1" x14ac:dyDescent="0.3">
      <c r="A32" s="359"/>
      <c r="B32" s="360"/>
      <c r="C32" s="361"/>
      <c r="D32" s="362"/>
      <c r="E32" s="474"/>
      <c r="F32" s="681"/>
      <c r="G32" s="682"/>
      <c r="H32" s="439"/>
      <c r="I32" s="440"/>
      <c r="J32" s="479"/>
      <c r="K32" s="480"/>
      <c r="L32" s="485"/>
      <c r="M32" s="446"/>
      <c r="N32" s="449"/>
      <c r="O32" s="467"/>
      <c r="P32" s="447"/>
      <c r="Q32" s="448"/>
      <c r="R32" s="440"/>
      <c r="S32" s="645"/>
      <c r="T32" s="646"/>
      <c r="U32" s="647"/>
      <c r="V32" s="443"/>
    </row>
    <row r="33" spans="1:27" ht="20.100000000000001" customHeight="1" thickTop="1" thickBot="1" x14ac:dyDescent="0.3">
      <c r="A33" s="357"/>
      <c r="B33" s="363" t="s">
        <v>576</v>
      </c>
      <c r="C33" s="698" t="s">
        <v>577</v>
      </c>
      <c r="D33" s="699"/>
      <c r="E33" s="474"/>
      <c r="F33" s="681"/>
      <c r="G33" s="682"/>
      <c r="H33" s="439"/>
      <c r="I33" s="440"/>
      <c r="J33" s="479"/>
      <c r="K33" s="480"/>
      <c r="L33" s="488"/>
      <c r="M33" s="489"/>
      <c r="N33" s="449"/>
      <c r="O33" s="490"/>
      <c r="P33" s="491"/>
      <c r="Q33" s="448"/>
      <c r="R33" s="440"/>
      <c r="S33" s="645"/>
      <c r="T33" s="646"/>
      <c r="U33" s="647"/>
      <c r="V33" s="443"/>
    </row>
    <row r="34" spans="1:27" ht="20.100000000000001" customHeight="1" thickTop="1" thickBot="1" x14ac:dyDescent="0.3">
      <c r="A34" s="364"/>
      <c r="B34" s="360"/>
      <c r="C34" s="694" t="s">
        <v>578</v>
      </c>
      <c r="D34" s="695"/>
      <c r="E34" s="475"/>
      <c r="F34" s="681"/>
      <c r="G34" s="682"/>
      <c r="H34" s="492"/>
      <c r="I34" s="493"/>
      <c r="J34" s="494"/>
      <c r="K34" s="495"/>
      <c r="L34" s="482"/>
      <c r="M34" s="496"/>
      <c r="N34" s="449"/>
      <c r="O34" s="497"/>
      <c r="P34" s="498"/>
      <c r="Q34" s="448"/>
      <c r="R34" s="440"/>
      <c r="S34" s="645"/>
      <c r="T34" s="646"/>
      <c r="U34" s="647"/>
      <c r="V34" s="450"/>
    </row>
    <row r="35" spans="1:27" ht="20.100000000000001" customHeight="1" thickTop="1" thickBot="1" x14ac:dyDescent="0.3">
      <c r="A35" s="357" t="s">
        <v>579</v>
      </c>
      <c r="B35" s="360" t="s">
        <v>580</v>
      </c>
      <c r="C35" s="690" t="s">
        <v>581</v>
      </c>
      <c r="D35" s="691"/>
      <c r="E35" s="475"/>
      <c r="F35" s="681"/>
      <c r="G35" s="682"/>
      <c r="H35" s="492"/>
      <c r="I35" s="493"/>
      <c r="J35" s="494"/>
      <c r="K35" s="495"/>
      <c r="L35" s="482"/>
      <c r="M35" s="496"/>
      <c r="N35" s="449"/>
      <c r="O35" s="497"/>
      <c r="P35" s="498"/>
      <c r="Q35" s="448"/>
      <c r="R35" s="440"/>
      <c r="S35" s="645"/>
      <c r="T35" s="646"/>
      <c r="U35" s="647"/>
      <c r="V35" s="450"/>
    </row>
    <row r="36" spans="1:27" ht="20.100000000000001" customHeight="1" thickTop="1" thickBot="1" x14ac:dyDescent="0.3">
      <c r="A36" s="359"/>
      <c r="B36" s="360"/>
      <c r="C36" s="696" t="s">
        <v>578</v>
      </c>
      <c r="D36" s="691"/>
      <c r="E36" s="475"/>
      <c r="F36" s="681"/>
      <c r="G36" s="682"/>
      <c r="H36" s="492"/>
      <c r="I36" s="493"/>
      <c r="J36" s="494"/>
      <c r="K36" s="495"/>
      <c r="L36" s="482"/>
      <c r="M36" s="496"/>
      <c r="N36" s="449"/>
      <c r="O36" s="497"/>
      <c r="P36" s="498"/>
      <c r="Q36" s="448"/>
      <c r="R36" s="440"/>
      <c r="S36" s="645"/>
      <c r="T36" s="646"/>
      <c r="U36" s="647"/>
      <c r="V36" s="450"/>
    </row>
    <row r="37" spans="1:27" ht="20.100000000000001" customHeight="1" thickTop="1" thickBot="1" x14ac:dyDescent="0.3">
      <c r="A37" s="357"/>
      <c r="B37" s="360" t="s">
        <v>582</v>
      </c>
      <c r="C37" s="690" t="s">
        <v>583</v>
      </c>
      <c r="D37" s="691"/>
      <c r="E37" s="474"/>
      <c r="F37" s="681"/>
      <c r="G37" s="682"/>
      <c r="H37" s="448"/>
      <c r="I37" s="451"/>
      <c r="J37" s="494"/>
      <c r="K37" s="495"/>
      <c r="L37" s="482"/>
      <c r="M37" s="452"/>
      <c r="N37" s="449"/>
      <c r="O37" s="442"/>
      <c r="P37" s="450"/>
      <c r="Q37" s="448"/>
      <c r="R37" s="440"/>
      <c r="S37" s="645"/>
      <c r="T37" s="646"/>
      <c r="U37" s="647"/>
      <c r="V37" s="450"/>
    </row>
    <row r="38" spans="1:27" ht="20.100000000000001" customHeight="1" thickTop="1" thickBot="1" x14ac:dyDescent="0.3">
      <c r="A38" s="359"/>
      <c r="B38" s="360"/>
      <c r="C38" s="692" t="s">
        <v>578</v>
      </c>
      <c r="D38" s="691"/>
      <c r="E38" s="474"/>
      <c r="F38" s="681"/>
      <c r="G38" s="682"/>
      <c r="H38" s="448"/>
      <c r="I38" s="451"/>
      <c r="J38" s="494"/>
      <c r="K38" s="495"/>
      <c r="L38" s="482"/>
      <c r="M38" s="452"/>
      <c r="N38" s="449"/>
      <c r="O38" s="442"/>
      <c r="P38" s="450"/>
      <c r="Q38" s="448"/>
      <c r="R38" s="440"/>
      <c r="S38" s="645"/>
      <c r="T38" s="646"/>
      <c r="U38" s="647"/>
      <c r="V38" s="450"/>
    </row>
    <row r="39" spans="1:27" ht="20.100000000000001" customHeight="1" thickTop="1" thickBot="1" x14ac:dyDescent="0.3">
      <c r="A39" s="365" t="s">
        <v>579</v>
      </c>
      <c r="B39" s="366" t="s">
        <v>584</v>
      </c>
      <c r="C39" s="693" t="s">
        <v>96</v>
      </c>
      <c r="D39" s="662"/>
      <c r="E39" s="476"/>
      <c r="F39" s="681"/>
      <c r="G39" s="682"/>
      <c r="H39" s="453"/>
      <c r="I39" s="454"/>
      <c r="J39" s="499"/>
      <c r="K39" s="495"/>
      <c r="L39" s="500"/>
      <c r="M39" s="455"/>
      <c r="N39" s="449"/>
      <c r="O39" s="455"/>
      <c r="P39" s="456"/>
      <c r="Q39" s="448"/>
      <c r="R39" s="440"/>
      <c r="S39" s="645"/>
      <c r="T39" s="646"/>
      <c r="U39" s="647"/>
      <c r="V39" s="450"/>
    </row>
    <row r="40" spans="1:27" ht="20.100000000000001" customHeight="1" thickBot="1" x14ac:dyDescent="0.3">
      <c r="A40" s="689" t="s">
        <v>585</v>
      </c>
      <c r="B40" s="658"/>
      <c r="C40" s="658"/>
      <c r="D40" s="659"/>
      <c r="E40" s="474"/>
      <c r="F40" s="681"/>
      <c r="G40" s="682"/>
      <c r="H40" s="448"/>
      <c r="I40" s="440"/>
      <c r="J40" s="494"/>
      <c r="K40" s="495"/>
      <c r="L40" s="482"/>
      <c r="M40" s="442"/>
      <c r="N40" s="449"/>
      <c r="O40" s="442"/>
      <c r="P40" s="450"/>
      <c r="Q40" s="448"/>
      <c r="R40" s="440"/>
      <c r="S40" s="645"/>
      <c r="T40" s="646"/>
      <c r="U40" s="647"/>
      <c r="V40" s="450"/>
      <c r="AA40" s="310" t="s">
        <v>586</v>
      </c>
    </row>
    <row r="41" spans="1:27" ht="20.100000000000001" customHeight="1" thickBot="1" x14ac:dyDescent="0.3">
      <c r="A41" s="657"/>
      <c r="B41" s="658"/>
      <c r="C41" s="658"/>
      <c r="D41" s="659"/>
      <c r="E41" s="474"/>
      <c r="F41" s="681"/>
      <c r="G41" s="682"/>
      <c r="H41" s="448"/>
      <c r="I41" s="440"/>
      <c r="J41" s="494"/>
      <c r="K41" s="495"/>
      <c r="L41" s="482"/>
      <c r="M41" s="442"/>
      <c r="N41" s="449"/>
      <c r="O41" s="442"/>
      <c r="P41" s="450"/>
      <c r="Q41" s="448"/>
      <c r="R41" s="440"/>
      <c r="S41" s="645"/>
      <c r="T41" s="646"/>
      <c r="U41" s="647"/>
      <c r="V41" s="450"/>
      <c r="AA41" s="310" t="s">
        <v>587</v>
      </c>
    </row>
    <row r="42" spans="1:27" ht="20.100000000000001" customHeight="1" thickBot="1" x14ac:dyDescent="0.3">
      <c r="A42" s="689" t="s">
        <v>588</v>
      </c>
      <c r="B42" s="658"/>
      <c r="C42" s="658"/>
      <c r="D42" s="659"/>
      <c r="E42" s="474"/>
      <c r="F42" s="681"/>
      <c r="G42" s="682"/>
      <c r="H42" s="448"/>
      <c r="I42" s="440"/>
      <c r="J42" s="494"/>
      <c r="K42" s="495"/>
      <c r="L42" s="482"/>
      <c r="M42" s="442"/>
      <c r="N42" s="449"/>
      <c r="O42" s="442"/>
      <c r="P42" s="450"/>
      <c r="Q42" s="448"/>
      <c r="R42" s="440"/>
      <c r="S42" s="645"/>
      <c r="T42" s="646"/>
      <c r="U42" s="647"/>
      <c r="V42" s="450"/>
    </row>
    <row r="43" spans="1:27" ht="20.100000000000001" customHeight="1" thickBot="1" x14ac:dyDescent="0.3">
      <c r="A43" s="657"/>
      <c r="B43" s="658"/>
      <c r="C43" s="658"/>
      <c r="D43" s="659"/>
      <c r="E43" s="476"/>
      <c r="F43" s="681"/>
      <c r="G43" s="682"/>
      <c r="H43" s="453"/>
      <c r="I43" s="454"/>
      <c r="J43" s="499"/>
      <c r="K43" s="501"/>
      <c r="L43" s="500"/>
      <c r="M43" s="455"/>
      <c r="N43" s="457"/>
      <c r="O43" s="455"/>
      <c r="P43" s="456"/>
      <c r="Q43" s="453"/>
      <c r="R43" s="454"/>
      <c r="S43" s="645"/>
      <c r="T43" s="646"/>
      <c r="U43" s="647"/>
      <c r="V43" s="456"/>
    </row>
    <row r="44" spans="1:27" ht="20.100000000000001" customHeight="1" x14ac:dyDescent="0.25">
      <c r="A44" s="367"/>
      <c r="B44" s="313"/>
      <c r="C44" s="313"/>
      <c r="D44" s="362"/>
      <c r="E44" s="476"/>
      <c r="F44" s="681"/>
      <c r="G44" s="682"/>
      <c r="H44" s="453"/>
      <c r="I44" s="454"/>
      <c r="J44" s="499"/>
      <c r="K44" s="501"/>
      <c r="L44" s="500"/>
      <c r="M44" s="455"/>
      <c r="N44" s="457"/>
      <c r="O44" s="455"/>
      <c r="P44" s="456"/>
      <c r="Q44" s="453"/>
      <c r="R44" s="454"/>
      <c r="S44" s="645"/>
      <c r="T44" s="646"/>
      <c r="U44" s="647"/>
      <c r="V44" s="456"/>
    </row>
    <row r="45" spans="1:27" ht="20.100000000000001" customHeight="1" thickBot="1" x14ac:dyDescent="0.3">
      <c r="A45" s="660"/>
      <c r="B45" s="661"/>
      <c r="C45" s="661"/>
      <c r="D45" s="662"/>
      <c r="E45" s="477"/>
      <c r="F45" s="663"/>
      <c r="G45" s="664"/>
      <c r="H45" s="458"/>
      <c r="I45" s="459"/>
      <c r="J45" s="502"/>
      <c r="K45" s="503"/>
      <c r="L45" s="504"/>
      <c r="M45" s="460"/>
      <c r="N45" s="462"/>
      <c r="O45" s="460"/>
      <c r="P45" s="461"/>
      <c r="Q45" s="458"/>
      <c r="R45" s="459"/>
      <c r="S45" s="648"/>
      <c r="T45" s="649"/>
      <c r="U45" s="650"/>
      <c r="V45" s="461"/>
    </row>
    <row r="46" spans="1:27" ht="20.100000000000001" customHeight="1" thickBot="1" x14ac:dyDescent="0.25">
      <c r="A46" s="665" t="s">
        <v>589</v>
      </c>
      <c r="B46" s="666"/>
      <c r="C46" s="666"/>
      <c r="D46" s="666"/>
      <c r="E46" s="666"/>
      <c r="F46" s="666"/>
      <c r="G46" s="666"/>
      <c r="H46" s="666"/>
      <c r="I46" s="666"/>
      <c r="J46" s="666"/>
      <c r="K46" s="666"/>
      <c r="L46" s="667"/>
      <c r="M46" s="674" t="s">
        <v>81</v>
      </c>
      <c r="N46" s="661"/>
      <c r="O46" s="661"/>
      <c r="P46" s="661"/>
      <c r="Q46" s="661"/>
      <c r="R46" s="661"/>
      <c r="S46" s="661"/>
      <c r="T46" s="661"/>
      <c r="U46" s="661"/>
      <c r="V46" s="662"/>
    </row>
    <row r="47" spans="1:27" ht="20.100000000000001" customHeight="1" thickBot="1" x14ac:dyDescent="0.25">
      <c r="A47" s="668"/>
      <c r="B47" s="669"/>
      <c r="C47" s="669"/>
      <c r="D47" s="669"/>
      <c r="E47" s="669"/>
      <c r="F47" s="669"/>
      <c r="G47" s="669"/>
      <c r="H47" s="669"/>
      <c r="I47" s="669"/>
      <c r="J47" s="669"/>
      <c r="K47" s="669"/>
      <c r="L47" s="670"/>
      <c r="M47" s="675" t="s">
        <v>590</v>
      </c>
      <c r="N47" s="659"/>
      <c r="O47" s="676"/>
      <c r="P47" s="658"/>
      <c r="Q47" s="659"/>
      <c r="R47" s="677" t="s">
        <v>591</v>
      </c>
      <c r="S47" s="678"/>
      <c r="T47" s="677" t="s">
        <v>592</v>
      </c>
      <c r="U47" s="679"/>
      <c r="V47" s="678"/>
    </row>
    <row r="48" spans="1:27" ht="20.100000000000001" customHeight="1" thickBot="1" x14ac:dyDescent="0.25">
      <c r="A48" s="668"/>
      <c r="B48" s="669"/>
      <c r="C48" s="669"/>
      <c r="D48" s="669"/>
      <c r="E48" s="669"/>
      <c r="F48" s="669"/>
      <c r="G48" s="669"/>
      <c r="H48" s="669"/>
      <c r="I48" s="669"/>
      <c r="J48" s="669"/>
      <c r="K48" s="669"/>
      <c r="L48" s="670"/>
      <c r="M48" s="675" t="s">
        <v>593</v>
      </c>
      <c r="N48" s="659"/>
      <c r="O48" s="683"/>
      <c r="P48" s="658"/>
      <c r="Q48" s="659"/>
      <c r="R48" s="684"/>
      <c r="S48" s="685"/>
      <c r="T48" s="684"/>
      <c r="U48" s="686"/>
      <c r="V48" s="685"/>
    </row>
    <row r="49" spans="1:22" ht="19.5" customHeight="1" thickBot="1" x14ac:dyDescent="0.3">
      <c r="A49" s="668"/>
      <c r="B49" s="669"/>
      <c r="C49" s="669"/>
      <c r="D49" s="669"/>
      <c r="E49" s="669"/>
      <c r="F49" s="669"/>
      <c r="G49" s="669"/>
      <c r="H49" s="669"/>
      <c r="I49" s="669"/>
      <c r="J49" s="669"/>
      <c r="K49" s="669"/>
      <c r="L49" s="670"/>
      <c r="M49" s="687" t="s">
        <v>594</v>
      </c>
      <c r="N49" s="659"/>
      <c r="O49" s="688"/>
      <c r="P49" s="658"/>
      <c r="Q49" s="659"/>
      <c r="R49" s="368" t="s">
        <v>595</v>
      </c>
      <c r="S49" s="369"/>
      <c r="T49" s="368" t="s">
        <v>78</v>
      </c>
      <c r="U49" s="683"/>
      <c r="V49" s="659"/>
    </row>
    <row r="50" spans="1:22" ht="20.25" customHeight="1" thickBot="1" x14ac:dyDescent="0.25">
      <c r="A50" s="671"/>
      <c r="B50" s="672"/>
      <c r="C50" s="672"/>
      <c r="D50" s="672"/>
      <c r="E50" s="672"/>
      <c r="F50" s="672"/>
      <c r="G50" s="672"/>
      <c r="H50" s="672"/>
      <c r="I50" s="672"/>
      <c r="J50" s="672"/>
      <c r="K50" s="672"/>
      <c r="L50" s="673"/>
      <c r="M50" s="676" t="s">
        <v>596</v>
      </c>
      <c r="N50" s="659"/>
      <c r="O50" s="680"/>
      <c r="P50" s="658"/>
      <c r="Q50" s="658"/>
      <c r="R50" s="658"/>
      <c r="S50" s="658"/>
      <c r="T50" s="658"/>
      <c r="U50" s="658"/>
      <c r="V50" s="659"/>
    </row>
    <row r="55" spans="1:22" x14ac:dyDescent="0.2">
      <c r="A55" s="370"/>
      <c r="B55" s="370"/>
      <c r="C55" s="370"/>
      <c r="D55" s="370"/>
      <c r="E55" s="370"/>
      <c r="F55" s="313"/>
      <c r="G55" s="313"/>
      <c r="H55" s="313"/>
      <c r="I55" s="313"/>
      <c r="J55" s="313"/>
      <c r="K55" s="313"/>
      <c r="L55" s="313"/>
      <c r="M55" s="313"/>
      <c r="N55" s="313"/>
      <c r="O55" s="313"/>
      <c r="P55" s="313"/>
      <c r="Q55" s="313"/>
      <c r="R55" s="313"/>
      <c r="S55" s="313"/>
      <c r="T55" s="313"/>
      <c r="U55" s="313"/>
      <c r="V55" s="313"/>
    </row>
    <row r="56" spans="1:22" x14ac:dyDescent="0.2">
      <c r="A56" s="313"/>
      <c r="B56" s="370"/>
      <c r="C56" s="370"/>
    </row>
    <row r="57" spans="1:22" x14ac:dyDescent="0.2">
      <c r="A57" s="370"/>
      <c r="B57" s="370"/>
      <c r="C57" s="370"/>
    </row>
  </sheetData>
  <mergeCells count="130">
    <mergeCell ref="A1:V1"/>
    <mergeCell ref="A2:C5"/>
    <mergeCell ref="D2:E3"/>
    <mergeCell ref="F2:G3"/>
    <mergeCell ref="D4:E5"/>
    <mergeCell ref="A7:D7"/>
    <mergeCell ref="F7:J7"/>
    <mergeCell ref="M7:S7"/>
    <mergeCell ref="T7:V11"/>
    <mergeCell ref="G8:J8"/>
    <mergeCell ref="G10:J10"/>
    <mergeCell ref="M10:O10"/>
    <mergeCell ref="P10:S10"/>
    <mergeCell ref="A11:E11"/>
    <mergeCell ref="M11:O11"/>
    <mergeCell ref="P11:S11"/>
    <mergeCell ref="M8:O8"/>
    <mergeCell ref="P8:S8"/>
    <mergeCell ref="A9:C9"/>
    <mergeCell ref="G9:J9"/>
    <mergeCell ref="M9:O9"/>
    <mergeCell ref="P9:S9"/>
    <mergeCell ref="A12:B12"/>
    <mergeCell ref="F12:J12"/>
    <mergeCell ref="M12:O12"/>
    <mergeCell ref="P12:S12"/>
    <mergeCell ref="T12:V16"/>
    <mergeCell ref="A13:B13"/>
    <mergeCell ref="M13:O13"/>
    <mergeCell ref="P13:S13"/>
    <mergeCell ref="A14:B14"/>
    <mergeCell ref="M14:O14"/>
    <mergeCell ref="P14:R14"/>
    <mergeCell ref="A15:B15"/>
    <mergeCell ref="M15:R15"/>
    <mergeCell ref="A17:H17"/>
    <mergeCell ref="A18:D22"/>
    <mergeCell ref="E18:E22"/>
    <mergeCell ref="F18:G22"/>
    <mergeCell ref="H18:H22"/>
    <mergeCell ref="I18:I22"/>
    <mergeCell ref="J18:K20"/>
    <mergeCell ref="C27:D27"/>
    <mergeCell ref="F27:G27"/>
    <mergeCell ref="C28:D28"/>
    <mergeCell ref="F28:G28"/>
    <mergeCell ref="C29:D29"/>
    <mergeCell ref="F29:G29"/>
    <mergeCell ref="V18:V22"/>
    <mergeCell ref="O19:P19"/>
    <mergeCell ref="T23:V23"/>
    <mergeCell ref="A25:D25"/>
    <mergeCell ref="C26:D26"/>
    <mergeCell ref="F26:G26"/>
    <mergeCell ref="L18:L22"/>
    <mergeCell ref="M18:N20"/>
    <mergeCell ref="O18:P18"/>
    <mergeCell ref="Q18:Q22"/>
    <mergeCell ref="R18:R22"/>
    <mergeCell ref="S18:U22"/>
    <mergeCell ref="F25:G25"/>
    <mergeCell ref="C34:D34"/>
    <mergeCell ref="F34:G34"/>
    <mergeCell ref="C35:D35"/>
    <mergeCell ref="F35:G35"/>
    <mergeCell ref="C36:D36"/>
    <mergeCell ref="F36:G36"/>
    <mergeCell ref="C30:D30"/>
    <mergeCell ref="F30:G30"/>
    <mergeCell ref="C31:D31"/>
    <mergeCell ref="F31:G31"/>
    <mergeCell ref="C33:D33"/>
    <mergeCell ref="F33:G33"/>
    <mergeCell ref="F32:G32"/>
    <mergeCell ref="A40:D40"/>
    <mergeCell ref="F40:G40"/>
    <mergeCell ref="A41:D41"/>
    <mergeCell ref="F41:G41"/>
    <mergeCell ref="A42:D42"/>
    <mergeCell ref="F42:G42"/>
    <mergeCell ref="C37:D37"/>
    <mergeCell ref="F37:G37"/>
    <mergeCell ref="C38:D38"/>
    <mergeCell ref="F38:G38"/>
    <mergeCell ref="C39:D39"/>
    <mergeCell ref="F39:G39"/>
    <mergeCell ref="A43:D43"/>
    <mergeCell ref="A45:D45"/>
    <mergeCell ref="F45:G45"/>
    <mergeCell ref="A46:L50"/>
    <mergeCell ref="M46:V46"/>
    <mergeCell ref="M47:N47"/>
    <mergeCell ref="O47:Q47"/>
    <mergeCell ref="R47:S47"/>
    <mergeCell ref="T47:V47"/>
    <mergeCell ref="M48:N48"/>
    <mergeCell ref="M50:N50"/>
    <mergeCell ref="O50:V50"/>
    <mergeCell ref="F43:G43"/>
    <mergeCell ref="F44:G44"/>
    <mergeCell ref="O48:Q48"/>
    <mergeCell ref="R48:S48"/>
    <mergeCell ref="T48:V48"/>
    <mergeCell ref="M49:N49"/>
    <mergeCell ref="O49:Q49"/>
    <mergeCell ref="U49:V49"/>
    <mergeCell ref="S41:U41"/>
    <mergeCell ref="S42:U42"/>
    <mergeCell ref="S43:U43"/>
    <mergeCell ref="S44:U44"/>
    <mergeCell ref="S45:U45"/>
    <mergeCell ref="G13:J13"/>
    <mergeCell ref="G14:J14"/>
    <mergeCell ref="G15:J15"/>
    <mergeCell ref="S34:U34"/>
    <mergeCell ref="S35:U35"/>
    <mergeCell ref="S36:U36"/>
    <mergeCell ref="S37:U37"/>
    <mergeCell ref="S38:U38"/>
    <mergeCell ref="S39:U39"/>
    <mergeCell ref="S25:U25"/>
    <mergeCell ref="S26:U26"/>
    <mergeCell ref="S27:U27"/>
    <mergeCell ref="S28:U28"/>
    <mergeCell ref="S29:U29"/>
    <mergeCell ref="S40:U40"/>
    <mergeCell ref="S30:U30"/>
    <mergeCell ref="S31:U31"/>
    <mergeCell ref="S32:U32"/>
    <mergeCell ref="S33:U33"/>
  </mergeCells>
  <pageMargins left="0.7" right="0.7" top="0.75" bottom="0.75" header="0.3" footer="0.3"/>
  <pageSetup paperSize="9" orientation="portrait" horizontalDpi="360" verticalDpi="36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39"/>
  <sheetViews>
    <sheetView zoomScale="55" zoomScaleNormal="55" workbookViewId="0">
      <selection activeCell="P45" sqref="P45"/>
    </sheetView>
  </sheetViews>
  <sheetFormatPr defaultColWidth="10.140625" defaultRowHeight="14.25" x14ac:dyDescent="0.2"/>
  <cols>
    <col min="1" max="1" width="10.140625" style="421"/>
    <col min="2" max="2" width="42.5703125" style="421" customWidth="1"/>
    <col min="3" max="3" width="17.140625" style="421" bestFit="1" customWidth="1"/>
    <col min="4" max="4" width="16.7109375" style="421" customWidth="1"/>
    <col min="5" max="5" width="21.7109375" style="421" customWidth="1"/>
    <col min="6" max="6" width="13.28515625" style="421" customWidth="1"/>
    <col min="7" max="7" width="10" style="421" customWidth="1"/>
    <col min="8" max="8" width="35.42578125" style="421" customWidth="1"/>
    <col min="9" max="9" width="21.28515625" style="421" bestFit="1" customWidth="1"/>
    <col min="10" max="10" width="18" style="421" customWidth="1"/>
    <col min="11" max="11" width="16.140625" style="421" customWidth="1"/>
    <col min="12" max="12" width="14.85546875" style="421" customWidth="1"/>
    <col min="13" max="13" width="12.7109375" style="421" customWidth="1"/>
    <col min="14" max="14" width="14" style="421" customWidth="1"/>
    <col min="15" max="15" width="9.85546875" style="421" customWidth="1"/>
    <col min="16" max="16" width="28.42578125" style="421" customWidth="1"/>
    <col min="17" max="17" width="20.140625" style="421" customWidth="1"/>
    <col min="18" max="18" width="20.140625" style="421" bestFit="1" customWidth="1"/>
    <col min="19" max="19" width="10.140625" style="421"/>
    <col min="20" max="20" width="10.140625" style="421" customWidth="1"/>
    <col min="21" max="16384" width="10.140625" style="421"/>
  </cols>
  <sheetData>
    <row r="1" spans="1:20" s="371" customFormat="1" ht="27.95" customHeight="1" x14ac:dyDescent="0.2">
      <c r="B1" s="840" t="s">
        <v>597</v>
      </c>
      <c r="C1" s="840"/>
      <c r="D1" s="840"/>
      <c r="E1" s="840"/>
      <c r="F1" s="840"/>
      <c r="G1" s="840"/>
      <c r="H1" s="840"/>
      <c r="I1" s="840"/>
      <c r="J1" s="840"/>
      <c r="K1" s="840"/>
      <c r="L1" s="840"/>
      <c r="M1" s="840"/>
      <c r="N1" s="840"/>
      <c r="O1" s="840"/>
      <c r="P1" s="840"/>
      <c r="Q1" s="840"/>
      <c r="R1" s="372"/>
    </row>
    <row r="2" spans="1:20" s="371" customFormat="1" ht="22.5" customHeight="1" thickBot="1" x14ac:dyDescent="0.25">
      <c r="B2" s="373"/>
      <c r="C2" s="373"/>
      <c r="D2" s="373"/>
      <c r="E2" s="373"/>
      <c r="F2" s="373"/>
      <c r="G2" s="373"/>
      <c r="H2" s="373"/>
      <c r="I2" s="373"/>
      <c r="J2" s="373"/>
      <c r="K2" s="373"/>
      <c r="L2" s="373"/>
      <c r="M2" s="373"/>
      <c r="N2" s="374"/>
      <c r="O2" s="374"/>
      <c r="P2" s="374"/>
      <c r="Q2" s="374"/>
      <c r="R2" s="374"/>
    </row>
    <row r="3" spans="1:20" s="371" customFormat="1" ht="34.5" customHeight="1" thickBot="1" x14ac:dyDescent="0.25">
      <c r="B3" s="375" t="s">
        <v>598</v>
      </c>
      <c r="C3" s="841"/>
      <c r="D3" s="842"/>
      <c r="E3" s="843"/>
      <c r="G3" s="376"/>
      <c r="H3" s="375" t="s">
        <v>599</v>
      </c>
      <c r="I3" s="828" t="s">
        <v>522</v>
      </c>
      <c r="J3" s="829"/>
      <c r="K3" s="830"/>
      <c r="L3" s="377"/>
      <c r="M3" s="378" t="s">
        <v>600</v>
      </c>
      <c r="N3" s="379"/>
      <c r="O3" s="379"/>
      <c r="P3" s="379"/>
      <c r="Q3" s="379"/>
      <c r="R3" s="380"/>
    </row>
    <row r="4" spans="1:20" s="371" customFormat="1" ht="21.75" customHeight="1" thickBot="1" x14ac:dyDescent="0.25">
      <c r="C4" s="381"/>
      <c r="G4" s="381"/>
      <c r="H4" s="375" t="s">
        <v>601</v>
      </c>
      <c r="I4" s="828">
        <v>16459</v>
      </c>
      <c r="J4" s="829"/>
      <c r="K4" s="830"/>
      <c r="L4" s="377"/>
      <c r="M4" s="844"/>
      <c r="N4" s="845"/>
      <c r="O4" s="845"/>
      <c r="P4" s="845"/>
      <c r="Q4" s="845"/>
      <c r="R4" s="846"/>
    </row>
    <row r="5" spans="1:20" s="371" customFormat="1" ht="21.75" customHeight="1" thickBot="1" x14ac:dyDescent="0.25">
      <c r="B5" s="382"/>
      <c r="C5" s="382"/>
      <c r="D5" s="382"/>
      <c r="E5" s="382"/>
      <c r="F5" s="382"/>
      <c r="G5" s="382"/>
      <c r="H5" s="382"/>
      <c r="I5" s="382"/>
      <c r="J5" s="382"/>
      <c r="K5" s="382"/>
      <c r="L5" s="383"/>
      <c r="M5" s="844"/>
      <c r="N5" s="845"/>
      <c r="O5" s="845"/>
      <c r="P5" s="845"/>
      <c r="Q5" s="845"/>
      <c r="R5" s="846"/>
    </row>
    <row r="6" spans="1:20" s="371" customFormat="1" ht="21.75" customHeight="1" thickBot="1" x14ac:dyDescent="0.25">
      <c r="B6" s="384"/>
      <c r="C6" s="828" t="s">
        <v>602</v>
      </c>
      <c r="D6" s="829"/>
      <c r="E6" s="829"/>
      <c r="F6" s="829"/>
      <c r="G6" s="829"/>
      <c r="H6" s="829"/>
      <c r="I6" s="829"/>
      <c r="J6" s="829"/>
      <c r="K6" s="830"/>
      <c r="L6" s="385"/>
      <c r="M6" s="844"/>
      <c r="N6" s="845"/>
      <c r="O6" s="845"/>
      <c r="P6" s="845"/>
      <c r="Q6" s="845"/>
      <c r="R6" s="846"/>
    </row>
    <row r="7" spans="1:20" s="371" customFormat="1" ht="18.75" thickBot="1" x14ac:dyDescent="0.25">
      <c r="B7" s="386" t="s">
        <v>603</v>
      </c>
      <c r="C7" s="850"/>
      <c r="D7" s="851"/>
      <c r="E7" s="851"/>
      <c r="F7" s="851"/>
      <c r="G7" s="851"/>
      <c r="H7" s="851"/>
      <c r="I7" s="851"/>
      <c r="J7" s="851"/>
      <c r="K7" s="852"/>
      <c r="L7" s="385"/>
      <c r="M7" s="844"/>
      <c r="N7" s="845"/>
      <c r="O7" s="845"/>
      <c r="P7" s="845"/>
      <c r="Q7" s="845"/>
      <c r="R7" s="846"/>
      <c r="S7" s="387"/>
      <c r="T7" s="388"/>
    </row>
    <row r="8" spans="1:20" s="371" customFormat="1" ht="18.75" thickBot="1" x14ac:dyDescent="0.25">
      <c r="B8" s="389" t="s">
        <v>604</v>
      </c>
      <c r="C8" s="853"/>
      <c r="D8" s="854"/>
      <c r="E8" s="854"/>
      <c r="F8" s="854"/>
      <c r="G8" s="854"/>
      <c r="H8" s="854"/>
      <c r="I8" s="854"/>
      <c r="J8" s="854"/>
      <c r="K8" s="855"/>
      <c r="L8" s="385"/>
      <c r="M8" s="844"/>
      <c r="N8" s="845"/>
      <c r="O8" s="845"/>
      <c r="P8" s="845"/>
      <c r="Q8" s="845"/>
      <c r="R8" s="846"/>
      <c r="S8" s="387"/>
      <c r="T8" s="388"/>
    </row>
    <row r="9" spans="1:20" s="371" customFormat="1" ht="24" customHeight="1" thickBot="1" x14ac:dyDescent="0.25">
      <c r="B9" s="389" t="s">
        <v>605</v>
      </c>
      <c r="C9" s="856"/>
      <c r="D9" s="857"/>
      <c r="E9" s="857"/>
      <c r="F9" s="857"/>
      <c r="G9" s="857"/>
      <c r="H9" s="857"/>
      <c r="I9" s="857"/>
      <c r="J9" s="857"/>
      <c r="K9" s="858"/>
      <c r="L9" s="385"/>
      <c r="M9" s="844"/>
      <c r="N9" s="845"/>
      <c r="O9" s="845"/>
      <c r="P9" s="845"/>
      <c r="Q9" s="845"/>
      <c r="R9" s="846"/>
      <c r="S9" s="387"/>
      <c r="T9" s="388"/>
    </row>
    <row r="10" spans="1:20" s="371" customFormat="1" ht="24" customHeight="1" thickBot="1" x14ac:dyDescent="0.25">
      <c r="B10" s="390" t="s">
        <v>606</v>
      </c>
      <c r="C10" s="850"/>
      <c r="D10" s="851"/>
      <c r="E10" s="851"/>
      <c r="F10" s="851"/>
      <c r="G10" s="851"/>
      <c r="H10" s="851"/>
      <c r="I10" s="851"/>
      <c r="J10" s="851"/>
      <c r="K10" s="852"/>
      <c r="L10" s="385"/>
      <c r="M10" s="844"/>
      <c r="N10" s="845"/>
      <c r="O10" s="845"/>
      <c r="P10" s="845"/>
      <c r="Q10" s="845"/>
      <c r="R10" s="846"/>
      <c r="S10" s="387"/>
      <c r="T10" s="388"/>
    </row>
    <row r="11" spans="1:20" s="371" customFormat="1" ht="24" customHeight="1" thickBot="1" x14ac:dyDescent="0.3">
      <c r="A11" s="388"/>
      <c r="B11" s="386" t="s">
        <v>607</v>
      </c>
      <c r="C11" s="862"/>
      <c r="D11" s="863"/>
      <c r="E11" s="863"/>
      <c r="F11" s="863"/>
      <c r="G11" s="863"/>
      <c r="H11" s="863"/>
      <c r="I11" s="863"/>
      <c r="J11" s="863"/>
      <c r="K11" s="864"/>
      <c r="L11" s="385"/>
      <c r="M11" s="844"/>
      <c r="N11" s="845"/>
      <c r="O11" s="845"/>
      <c r="P11" s="845"/>
      <c r="Q11" s="845"/>
      <c r="R11" s="846"/>
      <c r="S11" s="388"/>
      <c r="T11" s="388"/>
    </row>
    <row r="12" spans="1:20" s="371" customFormat="1" ht="24" customHeight="1" thickBot="1" x14ac:dyDescent="0.25">
      <c r="A12" s="388"/>
      <c r="B12" s="382"/>
      <c r="C12" s="382"/>
      <c r="D12" s="382"/>
      <c r="E12" s="382"/>
      <c r="F12" s="382"/>
      <c r="G12" s="382"/>
      <c r="H12" s="383"/>
      <c r="I12" s="383"/>
      <c r="J12" s="383"/>
      <c r="K12" s="383"/>
      <c r="L12" s="385"/>
      <c r="M12" s="844"/>
      <c r="N12" s="845"/>
      <c r="O12" s="845"/>
      <c r="P12" s="845"/>
      <c r="Q12" s="845"/>
      <c r="R12" s="846"/>
      <c r="S12" s="388"/>
      <c r="T12" s="388"/>
    </row>
    <row r="13" spans="1:20" s="371" customFormat="1" ht="24" customHeight="1" thickBot="1" x14ac:dyDescent="0.25">
      <c r="B13" s="391"/>
      <c r="C13" s="828" t="s">
        <v>608</v>
      </c>
      <c r="D13" s="829"/>
      <c r="E13" s="829"/>
      <c r="F13" s="829"/>
      <c r="G13" s="829"/>
      <c r="H13" s="829"/>
      <c r="I13" s="829"/>
      <c r="J13" s="829"/>
      <c r="K13" s="830"/>
      <c r="L13" s="385"/>
      <c r="M13" s="844"/>
      <c r="N13" s="845"/>
      <c r="O13" s="845"/>
      <c r="P13" s="845"/>
      <c r="Q13" s="845"/>
      <c r="R13" s="846"/>
      <c r="S13" s="388"/>
      <c r="T13" s="388"/>
    </row>
    <row r="14" spans="1:20" s="371" customFormat="1" ht="24" customHeight="1" thickBot="1" x14ac:dyDescent="0.3">
      <c r="B14" s="392" t="s">
        <v>609</v>
      </c>
      <c r="C14" s="785"/>
      <c r="D14" s="786"/>
      <c r="E14" s="786"/>
      <c r="F14" s="786"/>
      <c r="G14" s="786"/>
      <c r="H14" s="786"/>
      <c r="I14" s="786"/>
      <c r="J14" s="786"/>
      <c r="K14" s="787"/>
      <c r="L14" s="385"/>
      <c r="M14" s="844"/>
      <c r="N14" s="845"/>
      <c r="O14" s="845"/>
      <c r="P14" s="845"/>
      <c r="Q14" s="845"/>
      <c r="R14" s="846"/>
      <c r="S14" s="388"/>
      <c r="T14" s="388"/>
    </row>
    <row r="15" spans="1:20" s="371" customFormat="1" ht="24" customHeight="1" thickBot="1" x14ac:dyDescent="0.3">
      <c r="B15" s="392" t="s">
        <v>610</v>
      </c>
      <c r="C15" s="785"/>
      <c r="D15" s="786"/>
      <c r="E15" s="786"/>
      <c r="F15" s="786"/>
      <c r="G15" s="786"/>
      <c r="H15" s="786"/>
      <c r="I15" s="786"/>
      <c r="J15" s="786"/>
      <c r="K15" s="787"/>
      <c r="L15" s="385"/>
      <c r="M15" s="844"/>
      <c r="N15" s="845"/>
      <c r="O15" s="845"/>
      <c r="P15" s="845"/>
      <c r="Q15" s="845"/>
      <c r="R15" s="846"/>
      <c r="S15" s="388"/>
      <c r="T15" s="388"/>
    </row>
    <row r="16" spans="1:20" s="371" customFormat="1" ht="24" customHeight="1" thickBot="1" x14ac:dyDescent="0.3">
      <c r="B16" s="392" t="s">
        <v>611</v>
      </c>
      <c r="C16" s="785"/>
      <c r="D16" s="786"/>
      <c r="E16" s="786"/>
      <c r="F16" s="786"/>
      <c r="G16" s="786"/>
      <c r="H16" s="786"/>
      <c r="I16" s="786"/>
      <c r="J16" s="786"/>
      <c r="K16" s="787"/>
      <c r="L16" s="385"/>
      <c r="M16" s="844"/>
      <c r="N16" s="845"/>
      <c r="O16" s="845"/>
      <c r="P16" s="845"/>
      <c r="Q16" s="845"/>
      <c r="R16" s="846"/>
      <c r="S16" s="388"/>
      <c r="T16" s="388"/>
    </row>
    <row r="17" spans="2:20" s="371" customFormat="1" ht="20.25" customHeight="1" thickBot="1" x14ac:dyDescent="0.25">
      <c r="B17" s="382"/>
      <c r="C17" s="382"/>
      <c r="D17" s="382"/>
      <c r="E17" s="382"/>
      <c r="F17" s="382"/>
      <c r="G17" s="382"/>
      <c r="H17" s="377"/>
      <c r="I17" s="377"/>
      <c r="J17" s="377"/>
      <c r="K17" s="377"/>
      <c r="L17" s="385"/>
      <c r="M17" s="844"/>
      <c r="N17" s="845"/>
      <c r="O17" s="845"/>
      <c r="P17" s="845"/>
      <c r="Q17" s="845"/>
      <c r="R17" s="846"/>
      <c r="S17" s="388"/>
      <c r="T17" s="388"/>
    </row>
    <row r="18" spans="2:20" s="371" customFormat="1" ht="18.75" hidden="1" customHeight="1" x14ac:dyDescent="0.25">
      <c r="B18" s="393" t="s">
        <v>612</v>
      </c>
      <c r="C18" s="865" t="s">
        <v>613</v>
      </c>
      <c r="D18" s="866"/>
      <c r="E18" s="866"/>
      <c r="F18" s="866"/>
      <c r="G18" s="866"/>
      <c r="H18" s="866"/>
      <c r="I18" s="866"/>
      <c r="J18" s="866"/>
      <c r="K18" s="394"/>
      <c r="L18" s="385"/>
      <c r="M18" s="844"/>
      <c r="N18" s="845"/>
      <c r="O18" s="845"/>
      <c r="P18" s="845"/>
      <c r="Q18" s="845"/>
      <c r="R18" s="846"/>
      <c r="S18" s="388"/>
      <c r="T18" s="388"/>
    </row>
    <row r="19" spans="2:20" s="371" customFormat="1" ht="18.75" hidden="1" customHeight="1" x14ac:dyDescent="0.2">
      <c r="B19" s="395" t="s">
        <v>614</v>
      </c>
      <c r="C19" s="867" t="s">
        <v>615</v>
      </c>
      <c r="D19" s="868"/>
      <c r="E19" s="868"/>
      <c r="F19" s="868"/>
      <c r="G19" s="868"/>
      <c r="H19" s="868"/>
      <c r="I19" s="868"/>
      <c r="J19" s="868"/>
      <c r="K19" s="396"/>
      <c r="L19" s="385"/>
      <c r="M19" s="844"/>
      <c r="N19" s="845"/>
      <c r="O19" s="845"/>
      <c r="P19" s="845"/>
      <c r="Q19" s="845"/>
      <c r="R19" s="846"/>
      <c r="S19" s="388"/>
      <c r="T19" s="388"/>
    </row>
    <row r="20" spans="2:20" s="371" customFormat="1" ht="18.75" customHeight="1" thickBot="1" x14ac:dyDescent="0.25">
      <c r="B20" s="384"/>
      <c r="C20" s="828" t="s">
        <v>616</v>
      </c>
      <c r="D20" s="829"/>
      <c r="E20" s="829"/>
      <c r="F20" s="830"/>
      <c r="G20" s="376"/>
      <c r="H20" s="828" t="s">
        <v>526</v>
      </c>
      <c r="I20" s="829"/>
      <c r="J20" s="829"/>
      <c r="K20" s="830"/>
      <c r="L20" s="385"/>
      <c r="M20" s="844"/>
      <c r="N20" s="845"/>
      <c r="O20" s="845"/>
      <c r="P20" s="845"/>
      <c r="Q20" s="845"/>
      <c r="R20" s="846"/>
      <c r="S20" s="388"/>
      <c r="T20" s="388"/>
    </row>
    <row r="21" spans="2:20" s="371" customFormat="1" ht="21.75" customHeight="1" thickBot="1" x14ac:dyDescent="0.3">
      <c r="B21" s="397" t="s">
        <v>617</v>
      </c>
      <c r="C21" s="828"/>
      <c r="D21" s="829"/>
      <c r="E21" s="829"/>
      <c r="F21" s="830"/>
      <c r="G21" s="398"/>
      <c r="H21" s="399" t="s">
        <v>618</v>
      </c>
      <c r="I21" s="837"/>
      <c r="J21" s="838"/>
      <c r="K21" s="839"/>
      <c r="L21" s="385"/>
      <c r="M21" s="844"/>
      <c r="N21" s="845"/>
      <c r="O21" s="845"/>
      <c r="P21" s="845"/>
      <c r="Q21" s="845"/>
      <c r="R21" s="846"/>
      <c r="S21" s="388"/>
      <c r="T21" s="388"/>
    </row>
    <row r="22" spans="2:20" s="371" customFormat="1" ht="21.75" customHeight="1" thickBot="1" x14ac:dyDescent="0.3">
      <c r="B22" s="400" t="s">
        <v>619</v>
      </c>
      <c r="C22" s="828"/>
      <c r="D22" s="829"/>
      <c r="E22" s="829"/>
      <c r="F22" s="830"/>
      <c r="G22" s="398"/>
      <c r="H22" s="399" t="s">
        <v>620</v>
      </c>
      <c r="I22" s="401"/>
      <c r="J22" s="399" t="s">
        <v>529</v>
      </c>
      <c r="K22" s="401"/>
      <c r="L22" s="385"/>
      <c r="M22" s="844"/>
      <c r="N22" s="845"/>
      <c r="O22" s="845"/>
      <c r="P22" s="845"/>
      <c r="Q22" s="845"/>
      <c r="R22" s="846"/>
      <c r="S22" s="388"/>
      <c r="T22" s="388"/>
    </row>
    <row r="23" spans="2:20" s="371" customFormat="1" ht="24.95" customHeight="1" thickBot="1" x14ac:dyDescent="0.3">
      <c r="B23" s="402" t="s">
        <v>493</v>
      </c>
      <c r="C23" s="828"/>
      <c r="D23" s="829"/>
      <c r="E23" s="829"/>
      <c r="F23" s="830"/>
      <c r="G23" s="398"/>
      <c r="H23" s="399" t="s">
        <v>621</v>
      </c>
      <c r="I23" s="401"/>
      <c r="J23" s="399" t="s">
        <v>537</v>
      </c>
      <c r="K23" s="401"/>
      <c r="L23" s="385"/>
      <c r="M23" s="844"/>
      <c r="N23" s="845"/>
      <c r="O23" s="845"/>
      <c r="P23" s="845"/>
      <c r="Q23" s="845"/>
      <c r="R23" s="846"/>
      <c r="S23" s="388"/>
      <c r="T23" s="388"/>
    </row>
    <row r="24" spans="2:20" s="371" customFormat="1" ht="21.75" customHeight="1" thickBot="1" x14ac:dyDescent="0.3">
      <c r="B24" s="403" t="s">
        <v>622</v>
      </c>
      <c r="C24" s="828"/>
      <c r="D24" s="829"/>
      <c r="E24" s="829"/>
      <c r="F24" s="830"/>
      <c r="G24" s="398"/>
      <c r="H24" s="399" t="s">
        <v>511</v>
      </c>
      <c r="I24" s="401"/>
      <c r="J24" s="399" t="s">
        <v>535</v>
      </c>
      <c r="K24" s="401"/>
      <c r="L24" s="385"/>
      <c r="M24" s="844"/>
      <c r="N24" s="845"/>
      <c r="O24" s="845"/>
      <c r="P24" s="845"/>
      <c r="Q24" s="845"/>
      <c r="R24" s="846"/>
      <c r="S24" s="388"/>
      <c r="T24" s="388"/>
    </row>
    <row r="25" spans="2:20" s="371" customFormat="1" ht="21.75" customHeight="1" thickBot="1" x14ac:dyDescent="0.3">
      <c r="B25" s="404"/>
      <c r="C25" s="405"/>
      <c r="D25" s="405"/>
      <c r="E25" s="405"/>
      <c r="F25" s="405"/>
      <c r="G25" s="385"/>
      <c r="H25" s="372"/>
      <c r="I25" s="372"/>
      <c r="J25" s="372"/>
      <c r="K25" s="372"/>
      <c r="L25" s="385"/>
      <c r="M25" s="844"/>
      <c r="N25" s="845"/>
      <c r="O25" s="845"/>
      <c r="P25" s="845"/>
      <c r="Q25" s="845"/>
      <c r="R25" s="846"/>
      <c r="S25" s="388"/>
      <c r="T25" s="388"/>
    </row>
    <row r="26" spans="2:20" s="371" customFormat="1" ht="21.75" customHeight="1" thickBot="1" x14ac:dyDescent="0.3">
      <c r="B26" s="406" t="s">
        <v>623</v>
      </c>
      <c r="C26" s="859" t="s">
        <v>57</v>
      </c>
      <c r="D26" s="860"/>
      <c r="E26" s="861" t="s">
        <v>58</v>
      </c>
      <c r="F26" s="860"/>
      <c r="G26" s="372"/>
      <c r="H26" s="407" t="s">
        <v>624</v>
      </c>
      <c r="I26" s="408" t="s">
        <v>9</v>
      </c>
      <c r="J26" s="408" t="s">
        <v>625</v>
      </c>
      <c r="K26" s="409"/>
      <c r="L26" s="372"/>
      <c r="M26" s="844"/>
      <c r="N26" s="845"/>
      <c r="O26" s="845"/>
      <c r="P26" s="845"/>
      <c r="Q26" s="845"/>
      <c r="R26" s="846"/>
    </row>
    <row r="27" spans="2:20" s="371" customFormat="1" ht="21.75" customHeight="1" x14ac:dyDescent="0.25">
      <c r="B27" s="410" t="s">
        <v>626</v>
      </c>
      <c r="C27" s="831"/>
      <c r="D27" s="832"/>
      <c r="E27" s="833"/>
      <c r="F27" s="832"/>
      <c r="G27" s="372"/>
      <c r="H27" s="411" t="s">
        <v>627</v>
      </c>
      <c r="I27" s="507"/>
      <c r="J27" s="507"/>
      <c r="K27" s="412"/>
      <c r="L27" s="372"/>
      <c r="M27" s="844"/>
      <c r="N27" s="845"/>
      <c r="O27" s="845"/>
      <c r="P27" s="845"/>
      <c r="Q27" s="845"/>
      <c r="R27" s="846"/>
    </row>
    <row r="28" spans="2:20" s="371" customFormat="1" ht="21.75" customHeight="1" thickBot="1" x14ac:dyDescent="0.3">
      <c r="B28" s="413" t="s">
        <v>517</v>
      </c>
      <c r="C28" s="834"/>
      <c r="D28" s="835"/>
      <c r="E28" s="836"/>
      <c r="F28" s="835"/>
      <c r="G28" s="372"/>
      <c r="H28" s="414" t="s">
        <v>628</v>
      </c>
      <c r="I28" s="507"/>
      <c r="J28" s="507"/>
      <c r="K28" s="412"/>
      <c r="L28" s="372"/>
      <c r="M28" s="847"/>
      <c r="N28" s="848"/>
      <c r="O28" s="848"/>
      <c r="P28" s="848"/>
      <c r="Q28" s="848"/>
      <c r="R28" s="849"/>
    </row>
    <row r="29" spans="2:20" s="371" customFormat="1" ht="21.75" customHeight="1" x14ac:dyDescent="0.25">
      <c r="B29" s="372"/>
      <c r="C29" s="372"/>
      <c r="D29" s="372"/>
      <c r="E29" s="372"/>
      <c r="F29" s="372"/>
      <c r="G29" s="372"/>
      <c r="H29" s="415"/>
      <c r="I29" s="412"/>
      <c r="J29" s="412"/>
      <c r="K29" s="372"/>
      <c r="L29" s="372"/>
      <c r="M29" s="372"/>
      <c r="N29" s="416"/>
      <c r="O29" s="416"/>
      <c r="P29" s="416"/>
      <c r="Q29" s="416"/>
      <c r="R29" s="372"/>
    </row>
    <row r="30" spans="2:20" s="371" customFormat="1" ht="20.100000000000001" customHeight="1" thickBot="1" x14ac:dyDescent="0.35">
      <c r="B30" s="417"/>
      <c r="C30" s="418"/>
      <c r="D30" s="418"/>
      <c r="E30" s="418"/>
      <c r="F30" s="419"/>
      <c r="G30" s="419"/>
      <c r="H30" s="419"/>
      <c r="I30" s="419"/>
      <c r="J30" s="419"/>
      <c r="K30" s="419"/>
      <c r="L30" s="419"/>
      <c r="M30" s="419"/>
      <c r="N30" s="419"/>
      <c r="O30" s="419"/>
      <c r="P30" s="419"/>
      <c r="Q30" s="419"/>
      <c r="R30" s="420"/>
      <c r="S30" s="421"/>
    </row>
    <row r="31" spans="2:20" s="371" customFormat="1" ht="15" customHeight="1" thickBot="1" x14ac:dyDescent="0.25">
      <c r="B31" s="800" t="s">
        <v>629</v>
      </c>
      <c r="C31" s="801"/>
      <c r="D31" s="801"/>
      <c r="E31" s="801"/>
      <c r="F31" s="801"/>
      <c r="G31" s="802"/>
      <c r="H31" s="821" t="s">
        <v>98</v>
      </c>
      <c r="I31" s="822"/>
      <c r="J31" s="822"/>
      <c r="K31" s="822"/>
      <c r="L31" s="823"/>
      <c r="M31" s="803" t="s">
        <v>630</v>
      </c>
      <c r="N31" s="804"/>
      <c r="O31" s="804"/>
      <c r="P31" s="804"/>
      <c r="Q31" s="804"/>
      <c r="R31" s="805"/>
      <c r="S31" s="421"/>
    </row>
    <row r="32" spans="2:20" s="371" customFormat="1" ht="15" customHeight="1" x14ac:dyDescent="0.2">
      <c r="B32" s="806" t="s">
        <v>0</v>
      </c>
      <c r="C32" s="806" t="s">
        <v>1</v>
      </c>
      <c r="D32" s="806" t="s">
        <v>545</v>
      </c>
      <c r="E32" s="806" t="s">
        <v>631</v>
      </c>
      <c r="F32" s="809" t="s">
        <v>2</v>
      </c>
      <c r="G32" s="806" t="s">
        <v>3</v>
      </c>
      <c r="H32" s="812" t="s">
        <v>632</v>
      </c>
      <c r="I32" s="813"/>
      <c r="J32" s="422"/>
      <c r="K32" s="422"/>
      <c r="L32" s="818" t="s">
        <v>633</v>
      </c>
      <c r="M32" s="788" t="s">
        <v>634</v>
      </c>
      <c r="N32" s="788" t="s">
        <v>635</v>
      </c>
      <c r="O32" s="788" t="s">
        <v>550</v>
      </c>
      <c r="P32" s="788" t="s">
        <v>552</v>
      </c>
      <c r="Q32" s="791" t="s">
        <v>2</v>
      </c>
      <c r="R32" s="788" t="s">
        <v>636</v>
      </c>
    </row>
    <row r="33" spans="2:18" s="371" customFormat="1" ht="16.5" customHeight="1" x14ac:dyDescent="0.2">
      <c r="B33" s="807"/>
      <c r="C33" s="807"/>
      <c r="D33" s="807"/>
      <c r="E33" s="807"/>
      <c r="F33" s="810"/>
      <c r="G33" s="807"/>
      <c r="H33" s="814"/>
      <c r="I33" s="815"/>
      <c r="J33" s="423"/>
      <c r="K33" s="423"/>
      <c r="L33" s="819"/>
      <c r="M33" s="789"/>
      <c r="N33" s="789"/>
      <c r="O33" s="789"/>
      <c r="P33" s="789"/>
      <c r="Q33" s="792"/>
      <c r="R33" s="789"/>
    </row>
    <row r="34" spans="2:18" s="371" customFormat="1" ht="57" customHeight="1" thickBot="1" x14ac:dyDescent="0.25">
      <c r="B34" s="807"/>
      <c r="C34" s="807"/>
      <c r="D34" s="807"/>
      <c r="E34" s="807"/>
      <c r="F34" s="810"/>
      <c r="G34" s="807"/>
      <c r="H34" s="816"/>
      <c r="I34" s="817"/>
      <c r="J34" s="424"/>
      <c r="K34" s="424"/>
      <c r="L34" s="820"/>
      <c r="M34" s="790"/>
      <c r="N34" s="790"/>
      <c r="O34" s="789"/>
      <c r="P34" s="789"/>
      <c r="Q34" s="792"/>
      <c r="R34" s="789"/>
    </row>
    <row r="35" spans="2:18" s="371" customFormat="1" ht="41.1" customHeight="1" x14ac:dyDescent="0.2">
      <c r="B35" s="807"/>
      <c r="C35" s="807"/>
      <c r="D35" s="807"/>
      <c r="E35" s="807"/>
      <c r="F35" s="810"/>
      <c r="G35" s="807"/>
      <c r="H35" s="824" t="s">
        <v>637</v>
      </c>
      <c r="I35" s="826" t="s">
        <v>638</v>
      </c>
      <c r="J35" s="794" t="s">
        <v>639</v>
      </c>
      <c r="K35" s="794" t="s">
        <v>640</v>
      </c>
      <c r="L35" s="796" t="s">
        <v>637</v>
      </c>
      <c r="M35" s="798" t="s">
        <v>641</v>
      </c>
      <c r="N35" s="799"/>
      <c r="O35" s="789"/>
      <c r="P35" s="789"/>
      <c r="Q35" s="792"/>
      <c r="R35" s="789"/>
    </row>
    <row r="36" spans="2:18" s="371" customFormat="1" ht="97.5" customHeight="1" thickBot="1" x14ac:dyDescent="0.25">
      <c r="B36" s="808"/>
      <c r="C36" s="808"/>
      <c r="D36" s="808"/>
      <c r="E36" s="808"/>
      <c r="F36" s="811"/>
      <c r="G36" s="808"/>
      <c r="H36" s="825"/>
      <c r="I36" s="827"/>
      <c r="J36" s="795"/>
      <c r="K36" s="795"/>
      <c r="L36" s="797"/>
      <c r="M36" s="425" t="s">
        <v>642</v>
      </c>
      <c r="N36" s="426" t="s">
        <v>643</v>
      </c>
      <c r="O36" s="790"/>
      <c r="P36" s="790"/>
      <c r="Q36" s="793"/>
      <c r="R36" s="790"/>
    </row>
    <row r="37" spans="2:18" s="433" customFormat="1" ht="17.25" customHeight="1" x14ac:dyDescent="0.25">
      <c r="B37" s="427"/>
      <c r="C37" s="427"/>
      <c r="D37" s="427"/>
      <c r="E37" s="427"/>
      <c r="F37" s="428"/>
      <c r="G37" s="427"/>
      <c r="H37" s="429"/>
      <c r="I37" s="430"/>
      <c r="J37" s="431"/>
      <c r="K37" s="431"/>
      <c r="L37" s="431"/>
      <c r="M37" s="431"/>
      <c r="N37" s="431"/>
      <c r="O37" s="427"/>
      <c r="P37" s="432"/>
      <c r="Q37" s="431"/>
      <c r="R37" s="431"/>
    </row>
    <row r="38" spans="2:18" s="371" customFormat="1" ht="21.75" hidden="1" customHeight="1" x14ac:dyDescent="0.25">
      <c r="B38" s="434" t="s">
        <v>644</v>
      </c>
      <c r="C38" s="434" t="s">
        <v>644</v>
      </c>
      <c r="D38" s="434" t="s">
        <v>644</v>
      </c>
      <c r="E38" s="434" t="s">
        <v>645</v>
      </c>
      <c r="F38" s="434" t="s">
        <v>645</v>
      </c>
      <c r="G38" s="434" t="s">
        <v>645</v>
      </c>
      <c r="H38" s="435" t="s">
        <v>646</v>
      </c>
      <c r="I38" s="435" t="s">
        <v>646</v>
      </c>
      <c r="J38" s="435" t="s">
        <v>646</v>
      </c>
      <c r="K38" s="435" t="s">
        <v>646</v>
      </c>
      <c r="L38" s="435" t="s">
        <v>646</v>
      </c>
      <c r="M38" s="435" t="s">
        <v>646</v>
      </c>
      <c r="N38" s="436" t="s">
        <v>646</v>
      </c>
      <c r="O38" s="437" t="s">
        <v>613</v>
      </c>
      <c r="P38" s="434" t="s">
        <v>644</v>
      </c>
      <c r="Q38" s="434" t="s">
        <v>645</v>
      </c>
      <c r="R38" s="434" t="s">
        <v>645</v>
      </c>
    </row>
    <row r="39" spans="2:18" s="371" customFormat="1" ht="24" customHeight="1" x14ac:dyDescent="0.25">
      <c r="B39" s="438"/>
      <c r="C39" s="438"/>
      <c r="D39" s="438"/>
      <c r="E39" s="438"/>
      <c r="F39" s="438"/>
      <c r="G39" s="438"/>
      <c r="H39" s="505"/>
      <c r="I39" s="506"/>
      <c r="J39" s="506"/>
      <c r="K39" s="506"/>
      <c r="L39" s="506"/>
      <c r="M39" s="506"/>
      <c r="N39" s="506"/>
      <c r="O39" s="506"/>
      <c r="P39" s="506"/>
      <c r="Q39" s="506"/>
      <c r="R39" s="506"/>
    </row>
  </sheetData>
  <mergeCells count="53">
    <mergeCell ref="B1:Q1"/>
    <mergeCell ref="C3:E3"/>
    <mergeCell ref="I3:K3"/>
    <mergeCell ref="I4:K4"/>
    <mergeCell ref="M4:R28"/>
    <mergeCell ref="C6:K6"/>
    <mergeCell ref="C7:K7"/>
    <mergeCell ref="C8:K8"/>
    <mergeCell ref="C9:K9"/>
    <mergeCell ref="C10:K10"/>
    <mergeCell ref="C26:D26"/>
    <mergeCell ref="E26:F26"/>
    <mergeCell ref="C11:K11"/>
    <mergeCell ref="C13:K13"/>
    <mergeCell ref="C18:J18"/>
    <mergeCell ref="C19:J19"/>
    <mergeCell ref="C20:F20"/>
    <mergeCell ref="H20:K20"/>
    <mergeCell ref="C21:F21"/>
    <mergeCell ref="I21:K21"/>
    <mergeCell ref="C22:F22"/>
    <mergeCell ref="C23:F23"/>
    <mergeCell ref="C24:F24"/>
    <mergeCell ref="C27:D27"/>
    <mergeCell ref="E27:F27"/>
    <mergeCell ref="C28:D28"/>
    <mergeCell ref="E28:F28"/>
    <mergeCell ref="H31:L31"/>
    <mergeCell ref="R32:R36"/>
    <mergeCell ref="H35:H36"/>
    <mergeCell ref="I35:I36"/>
    <mergeCell ref="J35:J36"/>
    <mergeCell ref="F32:F36"/>
    <mergeCell ref="G32:G36"/>
    <mergeCell ref="H32:I34"/>
    <mergeCell ref="L32:L34"/>
    <mergeCell ref="M32:M34"/>
    <mergeCell ref="C16:K16"/>
    <mergeCell ref="C15:K15"/>
    <mergeCell ref="C14:K14"/>
    <mergeCell ref="P32:P36"/>
    <mergeCell ref="Q32:Q36"/>
    <mergeCell ref="K35:K36"/>
    <mergeCell ref="L35:L36"/>
    <mergeCell ref="M35:N35"/>
    <mergeCell ref="N32:N34"/>
    <mergeCell ref="O32:O36"/>
    <mergeCell ref="B31:G31"/>
    <mergeCell ref="M31:R31"/>
    <mergeCell ref="B32:B36"/>
    <mergeCell ref="C32:C36"/>
    <mergeCell ref="D32:D36"/>
    <mergeCell ref="E32:E36"/>
  </mergeCells>
  <pageMargins left="0.7" right="0.7" top="0.75" bottom="0.75" header="0.3" footer="0.3"/>
  <pageSetup paperSize="9"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Main</vt:lpstr>
      <vt:lpstr>Temp</vt:lpstr>
      <vt:lpstr>Settings</vt:lpstr>
      <vt:lpstr>Sheet1</vt:lpstr>
      <vt:lpstr>OP_WPPP_Temp</vt:lpstr>
      <vt:lpstr>OP_SPPP_Temp</vt:lpstr>
      <vt:lpstr>Accrual_And_Prepayment_Temp</vt:lpstr>
      <vt:lpstr>Purchase_Order_Temp</vt:lpstr>
      <vt:lpstr>Payment_Request_Temp</vt:lpstr>
      <vt:lpstr>Monthly_Statement_Temp</vt:lpstr>
      <vt:lpstr>PAF_Temp</vt:lpstr>
      <vt:lpstr>PEM_Preview_Temp</vt:lpstr>
      <vt:lpstr>PEM_Temp</vt:lpstr>
      <vt:lpstr>PEM_Summary_Temp</vt:lpstr>
      <vt:lpstr>E1Upload_Temp</vt:lpstr>
      <vt:lpstr>Data_Dump_Temp</vt:lpstr>
      <vt:lpstr>ALM_Deal_Sheet_Temp</vt:lpstr>
      <vt:lpstr>Standard_Deal_Sheet_Temp</vt:lpstr>
      <vt:lpstr>CM</vt:lpstr>
      <vt:lpstr>PAF_Temp!Print_Area</vt:lpstr>
      <vt:lpstr>Purchase_Order_Temp!Print_Area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dc:creator>
  <cp:lastModifiedBy>Steve</cp:lastModifiedBy>
  <dcterms:created xsi:type="dcterms:W3CDTF">2006-09-16T00:00:00Z</dcterms:created>
  <dcterms:modified xsi:type="dcterms:W3CDTF">2014-04-17T06:03:15Z</dcterms:modified>
</cp:coreProperties>
</file>